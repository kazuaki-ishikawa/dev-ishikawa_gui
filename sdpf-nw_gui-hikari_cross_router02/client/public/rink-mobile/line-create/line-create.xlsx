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ThisWorkbook" defaultThemeVersion="124226"/>
  <xr:revisionPtr revIDLastSave="330" documentId="6_{CF6621B0-ED5A-414C-8803-C0BB1D2FBBC9}" xr6:coauthVersionLast="47" xr6:coauthVersionMax="47" xr10:uidLastSave="{9DF53100-EA09-4495-9EA1-DA190677C07D}"/>
  <bookViews>
    <workbookView xWindow="-110" yWindow="-110" windowWidth="19420" windowHeight="10300" activeTab="1" xr2:uid="{B841DD0F-17EB-47D8-B3DE-4B4E6A5ABB5F}"/>
  </bookViews>
  <sheets>
    <sheet name="回線申し込み" sheetId="1" r:id="rId1"/>
    <sheet name="回線申し込み (記入例)" sheetId="19" r:id="rId2"/>
    <sheet name="メニュー" sheetId="2" r:id="rId3"/>
    <sheet name="エラーチェック" sheetId="18" r:id="rId4"/>
  </sheets>
  <definedNames>
    <definedName name="_xlnm._FilterDatabase" localSheetId="3" hidden="1">エラーチェック!#REF!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A3" i="1"/>
  <c r="C2" i="19"/>
  <c r="I255" i="19"/>
  <c r="E255" i="19"/>
  <c r="C255" i="19"/>
  <c r="A255" i="19"/>
  <c r="I254" i="19"/>
  <c r="E254" i="19"/>
  <c r="C254" i="19"/>
  <c r="A254" i="19"/>
  <c r="I253" i="19"/>
  <c r="E253" i="19"/>
  <c r="C253" i="19"/>
  <c r="A253" i="19"/>
  <c r="I252" i="19"/>
  <c r="E252" i="19"/>
  <c r="C252" i="19"/>
  <c r="A252" i="19"/>
  <c r="I251" i="19"/>
  <c r="E251" i="19"/>
  <c r="C251" i="19"/>
  <c r="A251" i="19"/>
  <c r="I250" i="19"/>
  <c r="E250" i="19"/>
  <c r="C250" i="19"/>
  <c r="A250" i="19"/>
  <c r="I249" i="19"/>
  <c r="E249" i="19"/>
  <c r="C249" i="19"/>
  <c r="A249" i="19"/>
  <c r="I248" i="19"/>
  <c r="E248" i="19"/>
  <c r="C248" i="19"/>
  <c r="A248" i="19"/>
  <c r="I247" i="19"/>
  <c r="E247" i="19"/>
  <c r="C247" i="19"/>
  <c r="A247" i="19"/>
  <c r="I246" i="19"/>
  <c r="E246" i="19"/>
  <c r="C246" i="19"/>
  <c r="A246" i="19"/>
  <c r="I245" i="19"/>
  <c r="E245" i="19"/>
  <c r="C245" i="19"/>
  <c r="A245" i="19"/>
  <c r="I244" i="19"/>
  <c r="E244" i="19"/>
  <c r="C244" i="19"/>
  <c r="A244" i="19"/>
  <c r="I243" i="19"/>
  <c r="E243" i="19"/>
  <c r="C243" i="19"/>
  <c r="A243" i="19"/>
  <c r="I242" i="19"/>
  <c r="E242" i="19"/>
  <c r="C242" i="19"/>
  <c r="A242" i="19"/>
  <c r="I241" i="19"/>
  <c r="E241" i="19"/>
  <c r="C241" i="19"/>
  <c r="A241" i="19"/>
  <c r="I240" i="19"/>
  <c r="E240" i="19"/>
  <c r="C240" i="19"/>
  <c r="A240" i="19"/>
  <c r="I239" i="19"/>
  <c r="E239" i="19"/>
  <c r="C239" i="19"/>
  <c r="A239" i="19"/>
  <c r="I238" i="19"/>
  <c r="E238" i="19"/>
  <c r="C238" i="19"/>
  <c r="A238" i="19"/>
  <c r="I237" i="19"/>
  <c r="E237" i="19"/>
  <c r="C237" i="19"/>
  <c r="A237" i="19"/>
  <c r="I236" i="19"/>
  <c r="E236" i="19"/>
  <c r="C236" i="19"/>
  <c r="A236" i="19"/>
  <c r="I235" i="19"/>
  <c r="E235" i="19"/>
  <c r="C235" i="19"/>
  <c r="A235" i="19"/>
  <c r="I234" i="19"/>
  <c r="E234" i="19"/>
  <c r="C234" i="19"/>
  <c r="A234" i="19"/>
  <c r="I233" i="19"/>
  <c r="E233" i="19"/>
  <c r="C233" i="19"/>
  <c r="A233" i="19"/>
  <c r="I232" i="19"/>
  <c r="E232" i="19"/>
  <c r="C232" i="19"/>
  <c r="A232" i="19"/>
  <c r="I231" i="19"/>
  <c r="E231" i="19"/>
  <c r="C231" i="19"/>
  <c r="A231" i="19"/>
  <c r="I230" i="19"/>
  <c r="E230" i="19"/>
  <c r="C230" i="19"/>
  <c r="A230" i="19"/>
  <c r="I229" i="19"/>
  <c r="E229" i="19"/>
  <c r="C229" i="19"/>
  <c r="A229" i="19"/>
  <c r="I228" i="19"/>
  <c r="E228" i="19"/>
  <c r="C228" i="19"/>
  <c r="A228" i="19"/>
  <c r="I227" i="19"/>
  <c r="E227" i="19"/>
  <c r="C227" i="19"/>
  <c r="A227" i="19"/>
  <c r="I226" i="19"/>
  <c r="E226" i="19"/>
  <c r="C226" i="19"/>
  <c r="A226" i="19"/>
  <c r="I225" i="19"/>
  <c r="E225" i="19"/>
  <c r="C225" i="19"/>
  <c r="A225" i="19"/>
  <c r="I224" i="19"/>
  <c r="E224" i="19"/>
  <c r="C224" i="19"/>
  <c r="A224" i="19"/>
  <c r="I223" i="19"/>
  <c r="E223" i="19"/>
  <c r="C223" i="19"/>
  <c r="A223" i="19"/>
  <c r="I222" i="19"/>
  <c r="E222" i="19"/>
  <c r="C222" i="19"/>
  <c r="A222" i="19"/>
  <c r="I221" i="19"/>
  <c r="E221" i="19"/>
  <c r="C221" i="19"/>
  <c r="A221" i="19"/>
  <c r="I220" i="19"/>
  <c r="E220" i="19"/>
  <c r="C220" i="19"/>
  <c r="A220" i="19"/>
  <c r="I219" i="19"/>
  <c r="E219" i="19"/>
  <c r="C219" i="19"/>
  <c r="A219" i="19"/>
  <c r="I218" i="19"/>
  <c r="E218" i="19"/>
  <c r="C218" i="19"/>
  <c r="A218" i="19"/>
  <c r="I217" i="19"/>
  <c r="E217" i="19"/>
  <c r="C217" i="19"/>
  <c r="A217" i="19"/>
  <c r="I216" i="19"/>
  <c r="E216" i="19"/>
  <c r="C216" i="19"/>
  <c r="A216" i="19"/>
  <c r="I215" i="19"/>
  <c r="E215" i="19"/>
  <c r="C215" i="19"/>
  <c r="A215" i="19"/>
  <c r="I214" i="19"/>
  <c r="E214" i="19"/>
  <c r="C214" i="19"/>
  <c r="A214" i="19"/>
  <c r="I213" i="19"/>
  <c r="E213" i="19"/>
  <c r="C213" i="19"/>
  <c r="A213" i="19"/>
  <c r="I212" i="19"/>
  <c r="E212" i="19"/>
  <c r="C212" i="19"/>
  <c r="A212" i="19"/>
  <c r="I211" i="19"/>
  <c r="E211" i="19"/>
  <c r="C211" i="19"/>
  <c r="A211" i="19"/>
  <c r="I210" i="19"/>
  <c r="E210" i="19"/>
  <c r="C210" i="19"/>
  <c r="A210" i="19"/>
  <c r="I209" i="19"/>
  <c r="E209" i="19"/>
  <c r="C209" i="19"/>
  <c r="A209" i="19"/>
  <c r="I208" i="19"/>
  <c r="E208" i="19"/>
  <c r="C208" i="19"/>
  <c r="A208" i="19"/>
  <c r="I207" i="19"/>
  <c r="E207" i="19"/>
  <c r="C207" i="19"/>
  <c r="A207" i="19"/>
  <c r="I206" i="19"/>
  <c r="E206" i="19"/>
  <c r="C206" i="19"/>
  <c r="A206" i="19"/>
  <c r="I205" i="19"/>
  <c r="E205" i="19"/>
  <c r="C205" i="19"/>
  <c r="A205" i="19"/>
  <c r="I204" i="19"/>
  <c r="E204" i="19"/>
  <c r="C204" i="19"/>
  <c r="A204" i="19"/>
  <c r="I203" i="19"/>
  <c r="E203" i="19"/>
  <c r="C203" i="19"/>
  <c r="A203" i="19"/>
  <c r="I202" i="19"/>
  <c r="E202" i="19"/>
  <c r="C202" i="19"/>
  <c r="A202" i="19"/>
  <c r="I201" i="19"/>
  <c r="E201" i="19"/>
  <c r="C201" i="19"/>
  <c r="A201" i="19"/>
  <c r="I200" i="19"/>
  <c r="E200" i="19"/>
  <c r="C200" i="19"/>
  <c r="A200" i="19"/>
  <c r="I199" i="19"/>
  <c r="E199" i="19"/>
  <c r="C199" i="19"/>
  <c r="A199" i="19"/>
  <c r="I198" i="19"/>
  <c r="E198" i="19"/>
  <c r="C198" i="19"/>
  <c r="A198" i="19"/>
  <c r="I197" i="19"/>
  <c r="E197" i="19"/>
  <c r="C197" i="19"/>
  <c r="A197" i="19"/>
  <c r="I196" i="19"/>
  <c r="E196" i="19"/>
  <c r="C196" i="19"/>
  <c r="A196" i="19"/>
  <c r="I195" i="19"/>
  <c r="E195" i="19"/>
  <c r="C195" i="19"/>
  <c r="A195" i="19"/>
  <c r="I194" i="19"/>
  <c r="E194" i="19"/>
  <c r="C194" i="19"/>
  <c r="A194" i="19"/>
  <c r="I193" i="19"/>
  <c r="E193" i="19"/>
  <c r="C193" i="19"/>
  <c r="A193" i="19"/>
  <c r="I192" i="19"/>
  <c r="E192" i="19"/>
  <c r="C192" i="19"/>
  <c r="A192" i="19"/>
  <c r="I191" i="19"/>
  <c r="E191" i="19"/>
  <c r="C191" i="19"/>
  <c r="A191" i="19"/>
  <c r="I190" i="19"/>
  <c r="E190" i="19"/>
  <c r="C190" i="19"/>
  <c r="A190" i="19"/>
  <c r="I189" i="19"/>
  <c r="E189" i="19"/>
  <c r="C189" i="19"/>
  <c r="A189" i="19"/>
  <c r="I188" i="19"/>
  <c r="E188" i="19"/>
  <c r="C188" i="19"/>
  <c r="A188" i="19"/>
  <c r="I187" i="19"/>
  <c r="E187" i="19"/>
  <c r="C187" i="19"/>
  <c r="A187" i="19"/>
  <c r="I186" i="19"/>
  <c r="E186" i="19"/>
  <c r="C186" i="19"/>
  <c r="A186" i="19"/>
  <c r="I185" i="19"/>
  <c r="E185" i="19"/>
  <c r="C185" i="19"/>
  <c r="A185" i="19"/>
  <c r="I184" i="19"/>
  <c r="E184" i="19"/>
  <c r="C184" i="19"/>
  <c r="A184" i="19"/>
  <c r="I183" i="19"/>
  <c r="E183" i="19"/>
  <c r="C183" i="19"/>
  <c r="A183" i="19"/>
  <c r="I182" i="19"/>
  <c r="E182" i="19"/>
  <c r="C182" i="19"/>
  <c r="A182" i="19"/>
  <c r="I181" i="19"/>
  <c r="E181" i="19"/>
  <c r="C181" i="19"/>
  <c r="A181" i="19"/>
  <c r="I180" i="19"/>
  <c r="E180" i="19"/>
  <c r="C180" i="19"/>
  <c r="A180" i="19"/>
  <c r="I179" i="19"/>
  <c r="E179" i="19"/>
  <c r="C179" i="19"/>
  <c r="A179" i="19"/>
  <c r="I178" i="19"/>
  <c r="E178" i="19"/>
  <c r="C178" i="19"/>
  <c r="A178" i="19"/>
  <c r="I177" i="19"/>
  <c r="E177" i="19"/>
  <c r="C177" i="19"/>
  <c r="A177" i="19"/>
  <c r="I176" i="19"/>
  <c r="E176" i="19"/>
  <c r="C176" i="19"/>
  <c r="A176" i="19"/>
  <c r="I175" i="19"/>
  <c r="E175" i="19"/>
  <c r="C175" i="19"/>
  <c r="A175" i="19"/>
  <c r="I174" i="19"/>
  <c r="E174" i="19"/>
  <c r="C174" i="19"/>
  <c r="A174" i="19"/>
  <c r="I173" i="19"/>
  <c r="E173" i="19"/>
  <c r="C173" i="19"/>
  <c r="A173" i="19"/>
  <c r="I172" i="19"/>
  <c r="E172" i="19"/>
  <c r="C172" i="19"/>
  <c r="A172" i="19"/>
  <c r="I171" i="19"/>
  <c r="E171" i="19"/>
  <c r="C171" i="19"/>
  <c r="A171" i="19"/>
  <c r="I170" i="19"/>
  <c r="E170" i="19"/>
  <c r="C170" i="19"/>
  <c r="A170" i="19"/>
  <c r="I169" i="19"/>
  <c r="E169" i="19"/>
  <c r="C169" i="19"/>
  <c r="A169" i="19"/>
  <c r="I168" i="19"/>
  <c r="E168" i="19"/>
  <c r="C168" i="19"/>
  <c r="A168" i="19"/>
  <c r="I167" i="19"/>
  <c r="E167" i="19"/>
  <c r="C167" i="19"/>
  <c r="A167" i="19"/>
  <c r="I166" i="19"/>
  <c r="E166" i="19"/>
  <c r="C166" i="19"/>
  <c r="A166" i="19"/>
  <c r="I165" i="19"/>
  <c r="E165" i="19"/>
  <c r="C165" i="19"/>
  <c r="A165" i="19"/>
  <c r="I164" i="19"/>
  <c r="E164" i="19"/>
  <c r="C164" i="19"/>
  <c r="A164" i="19"/>
  <c r="I163" i="19"/>
  <c r="E163" i="19"/>
  <c r="C163" i="19"/>
  <c r="A163" i="19"/>
  <c r="I162" i="19"/>
  <c r="E162" i="19"/>
  <c r="C162" i="19"/>
  <c r="A162" i="19"/>
  <c r="I161" i="19"/>
  <c r="E161" i="19"/>
  <c r="C161" i="19"/>
  <c r="A161" i="19"/>
  <c r="I160" i="19"/>
  <c r="E160" i="19"/>
  <c r="C160" i="19"/>
  <c r="A160" i="19"/>
  <c r="I159" i="19"/>
  <c r="E159" i="19"/>
  <c r="C159" i="19"/>
  <c r="A159" i="19"/>
  <c r="I158" i="19"/>
  <c r="E158" i="19"/>
  <c r="C158" i="19"/>
  <c r="A158" i="19"/>
  <c r="I157" i="19"/>
  <c r="E157" i="19"/>
  <c r="C157" i="19"/>
  <c r="A157" i="19"/>
  <c r="I156" i="19"/>
  <c r="E156" i="19"/>
  <c r="C156" i="19"/>
  <c r="A156" i="19"/>
  <c r="I155" i="19"/>
  <c r="E155" i="19"/>
  <c r="C155" i="19"/>
  <c r="A155" i="19"/>
  <c r="I154" i="19"/>
  <c r="E154" i="19"/>
  <c r="C154" i="19"/>
  <c r="A154" i="19"/>
  <c r="I153" i="19"/>
  <c r="E153" i="19"/>
  <c r="C153" i="19"/>
  <c r="A153" i="19"/>
  <c r="I152" i="19"/>
  <c r="E152" i="19"/>
  <c r="C152" i="19"/>
  <c r="A152" i="19"/>
  <c r="I151" i="19"/>
  <c r="E151" i="19"/>
  <c r="C151" i="19"/>
  <c r="A151" i="19"/>
  <c r="I150" i="19"/>
  <c r="E150" i="19"/>
  <c r="C150" i="19"/>
  <c r="A150" i="19"/>
  <c r="I149" i="19"/>
  <c r="E149" i="19"/>
  <c r="C149" i="19"/>
  <c r="A149" i="19"/>
  <c r="I148" i="19"/>
  <c r="E148" i="19"/>
  <c r="C148" i="19"/>
  <c r="A148" i="19"/>
  <c r="I147" i="19"/>
  <c r="E147" i="19"/>
  <c r="C147" i="19"/>
  <c r="A147" i="19"/>
  <c r="I146" i="19"/>
  <c r="E146" i="19"/>
  <c r="C146" i="19"/>
  <c r="A146" i="19"/>
  <c r="I145" i="19"/>
  <c r="E145" i="19"/>
  <c r="C145" i="19"/>
  <c r="A145" i="19"/>
  <c r="I144" i="19"/>
  <c r="E144" i="19"/>
  <c r="C144" i="19"/>
  <c r="A144" i="19"/>
  <c r="I143" i="19"/>
  <c r="E143" i="19"/>
  <c r="C143" i="19"/>
  <c r="A143" i="19"/>
  <c r="I142" i="19"/>
  <c r="E142" i="19"/>
  <c r="C142" i="19"/>
  <c r="A142" i="19"/>
  <c r="I141" i="19"/>
  <c r="E141" i="19"/>
  <c r="C141" i="19"/>
  <c r="A141" i="19"/>
  <c r="I140" i="19"/>
  <c r="E140" i="19"/>
  <c r="C140" i="19"/>
  <c r="A140" i="19"/>
  <c r="I139" i="19"/>
  <c r="E139" i="19"/>
  <c r="C139" i="19"/>
  <c r="A139" i="19"/>
  <c r="I138" i="19"/>
  <c r="E138" i="19"/>
  <c r="C138" i="19"/>
  <c r="A138" i="19"/>
  <c r="I137" i="19"/>
  <c r="E137" i="19"/>
  <c r="C137" i="19"/>
  <c r="A137" i="19"/>
  <c r="I136" i="19"/>
  <c r="E136" i="19"/>
  <c r="C136" i="19"/>
  <c r="A136" i="19"/>
  <c r="I135" i="19"/>
  <c r="E135" i="19"/>
  <c r="C135" i="19"/>
  <c r="A135" i="19"/>
  <c r="I134" i="19"/>
  <c r="E134" i="19"/>
  <c r="C134" i="19"/>
  <c r="A134" i="19"/>
  <c r="I133" i="19"/>
  <c r="E133" i="19"/>
  <c r="C133" i="19"/>
  <c r="A133" i="19"/>
  <c r="I132" i="19"/>
  <c r="E132" i="19"/>
  <c r="C132" i="19"/>
  <c r="A132" i="19"/>
  <c r="I131" i="19"/>
  <c r="E131" i="19"/>
  <c r="C131" i="19"/>
  <c r="A131" i="19"/>
  <c r="I130" i="19"/>
  <c r="E130" i="19"/>
  <c r="C130" i="19"/>
  <c r="A130" i="19"/>
  <c r="I129" i="19"/>
  <c r="E129" i="19"/>
  <c r="C129" i="19"/>
  <c r="A129" i="19"/>
  <c r="I128" i="19"/>
  <c r="E128" i="19"/>
  <c r="C128" i="19"/>
  <c r="A128" i="19"/>
  <c r="I127" i="19"/>
  <c r="E127" i="19"/>
  <c r="C127" i="19"/>
  <c r="A127" i="19"/>
  <c r="I126" i="19"/>
  <c r="E126" i="19"/>
  <c r="C126" i="19"/>
  <c r="A126" i="19"/>
  <c r="I125" i="19"/>
  <c r="E125" i="19"/>
  <c r="C125" i="19"/>
  <c r="A125" i="19"/>
  <c r="I124" i="19"/>
  <c r="E124" i="19"/>
  <c r="C124" i="19"/>
  <c r="A124" i="19"/>
  <c r="I123" i="19"/>
  <c r="E123" i="19"/>
  <c r="C123" i="19"/>
  <c r="A123" i="19"/>
  <c r="I122" i="19"/>
  <c r="E122" i="19"/>
  <c r="C122" i="19"/>
  <c r="A122" i="19"/>
  <c r="I121" i="19"/>
  <c r="E121" i="19"/>
  <c r="C121" i="19"/>
  <c r="A121" i="19"/>
  <c r="I120" i="19"/>
  <c r="E120" i="19"/>
  <c r="C120" i="19"/>
  <c r="A120" i="19"/>
  <c r="I119" i="19"/>
  <c r="E119" i="19"/>
  <c r="C119" i="19"/>
  <c r="A119" i="19"/>
  <c r="I118" i="19"/>
  <c r="E118" i="19"/>
  <c r="C118" i="19"/>
  <c r="A118" i="19"/>
  <c r="I117" i="19"/>
  <c r="E117" i="19"/>
  <c r="C117" i="19"/>
  <c r="A117" i="19"/>
  <c r="I116" i="19"/>
  <c r="E116" i="19"/>
  <c r="C116" i="19"/>
  <c r="A116" i="19"/>
  <c r="I115" i="19"/>
  <c r="E115" i="19"/>
  <c r="C115" i="19"/>
  <c r="A115" i="19"/>
  <c r="I114" i="19"/>
  <c r="E114" i="19"/>
  <c r="C114" i="19"/>
  <c r="A114" i="19"/>
  <c r="I113" i="19"/>
  <c r="E113" i="19"/>
  <c r="C113" i="19"/>
  <c r="A113" i="19"/>
  <c r="I112" i="19"/>
  <c r="E112" i="19"/>
  <c r="C112" i="19"/>
  <c r="A112" i="19"/>
  <c r="I111" i="19"/>
  <c r="E111" i="19"/>
  <c r="C111" i="19"/>
  <c r="A111" i="19"/>
  <c r="I110" i="19"/>
  <c r="E110" i="19"/>
  <c r="C110" i="19"/>
  <c r="A110" i="19"/>
  <c r="I109" i="19"/>
  <c r="E109" i="19"/>
  <c r="C109" i="19"/>
  <c r="A109" i="19"/>
  <c r="I108" i="19"/>
  <c r="E108" i="19"/>
  <c r="C108" i="19"/>
  <c r="A108" i="19"/>
  <c r="I107" i="19"/>
  <c r="E107" i="19"/>
  <c r="C107" i="19"/>
  <c r="A107" i="19"/>
  <c r="I106" i="19"/>
  <c r="E106" i="19"/>
  <c r="C106" i="19"/>
  <c r="A106" i="19"/>
  <c r="I105" i="19"/>
  <c r="E105" i="19"/>
  <c r="C105" i="19"/>
  <c r="A105" i="19"/>
  <c r="I104" i="19"/>
  <c r="E104" i="19"/>
  <c r="C104" i="19"/>
  <c r="A104" i="19"/>
  <c r="I103" i="19"/>
  <c r="E103" i="19"/>
  <c r="C103" i="19"/>
  <c r="A103" i="19"/>
  <c r="I102" i="19"/>
  <c r="E102" i="19"/>
  <c r="C102" i="19"/>
  <c r="A102" i="19"/>
  <c r="I101" i="19"/>
  <c r="E101" i="19"/>
  <c r="C101" i="19"/>
  <c r="A101" i="19"/>
  <c r="I100" i="19"/>
  <c r="E100" i="19"/>
  <c r="C100" i="19"/>
  <c r="A100" i="19"/>
  <c r="I99" i="19"/>
  <c r="E99" i="19"/>
  <c r="C99" i="19"/>
  <c r="A99" i="19"/>
  <c r="I98" i="19"/>
  <c r="E98" i="19"/>
  <c r="C98" i="19"/>
  <c r="A98" i="19"/>
  <c r="I97" i="19"/>
  <c r="E97" i="19"/>
  <c r="C97" i="19"/>
  <c r="A97" i="19"/>
  <c r="I96" i="19"/>
  <c r="E96" i="19"/>
  <c r="C96" i="19"/>
  <c r="A96" i="19"/>
  <c r="I95" i="19"/>
  <c r="E95" i="19"/>
  <c r="C95" i="19"/>
  <c r="A95" i="19"/>
  <c r="I94" i="19"/>
  <c r="E94" i="19"/>
  <c r="C94" i="19"/>
  <c r="A94" i="19"/>
  <c r="I93" i="19"/>
  <c r="E93" i="19"/>
  <c r="C93" i="19"/>
  <c r="A93" i="19"/>
  <c r="I92" i="19"/>
  <c r="E92" i="19"/>
  <c r="C92" i="19"/>
  <c r="A92" i="19"/>
  <c r="I91" i="19"/>
  <c r="E91" i="19"/>
  <c r="C91" i="19"/>
  <c r="A91" i="19"/>
  <c r="I90" i="19"/>
  <c r="E90" i="19"/>
  <c r="C90" i="19"/>
  <c r="A90" i="19"/>
  <c r="I89" i="19"/>
  <c r="E89" i="19"/>
  <c r="C89" i="19"/>
  <c r="A89" i="19"/>
  <c r="I88" i="19"/>
  <c r="E88" i="19"/>
  <c r="C88" i="19"/>
  <c r="A88" i="19"/>
  <c r="I87" i="19"/>
  <c r="E87" i="19"/>
  <c r="C87" i="19"/>
  <c r="A87" i="19"/>
  <c r="I86" i="19"/>
  <c r="E86" i="19"/>
  <c r="C86" i="19"/>
  <c r="A86" i="19"/>
  <c r="I85" i="19"/>
  <c r="E85" i="19"/>
  <c r="C85" i="19"/>
  <c r="A85" i="19"/>
  <c r="I84" i="19"/>
  <c r="E84" i="19"/>
  <c r="C84" i="19"/>
  <c r="A84" i="19"/>
  <c r="I83" i="19"/>
  <c r="E83" i="19"/>
  <c r="C83" i="19"/>
  <c r="A83" i="19"/>
  <c r="I82" i="19"/>
  <c r="E82" i="19"/>
  <c r="C82" i="19"/>
  <c r="A82" i="19"/>
  <c r="I81" i="19"/>
  <c r="E81" i="19"/>
  <c r="C81" i="19"/>
  <c r="A81" i="19"/>
  <c r="I80" i="19"/>
  <c r="E80" i="19"/>
  <c r="C80" i="19"/>
  <c r="A80" i="19"/>
  <c r="I79" i="19"/>
  <c r="E79" i="19"/>
  <c r="C79" i="19"/>
  <c r="A79" i="19"/>
  <c r="I78" i="19"/>
  <c r="E78" i="19"/>
  <c r="C78" i="19"/>
  <c r="A78" i="19"/>
  <c r="I77" i="19"/>
  <c r="E77" i="19"/>
  <c r="C77" i="19"/>
  <c r="A77" i="19"/>
  <c r="I76" i="19"/>
  <c r="E76" i="19"/>
  <c r="C76" i="19"/>
  <c r="A76" i="19"/>
  <c r="I75" i="19"/>
  <c r="E75" i="19"/>
  <c r="C75" i="19"/>
  <c r="A75" i="19"/>
  <c r="I74" i="19"/>
  <c r="E74" i="19"/>
  <c r="C74" i="19"/>
  <c r="A74" i="19"/>
  <c r="I73" i="19"/>
  <c r="E73" i="19"/>
  <c r="C73" i="19"/>
  <c r="A73" i="19"/>
  <c r="I72" i="19"/>
  <c r="E72" i="19"/>
  <c r="C72" i="19"/>
  <c r="A72" i="19"/>
  <c r="I71" i="19"/>
  <c r="E71" i="19"/>
  <c r="C71" i="19"/>
  <c r="A71" i="19"/>
  <c r="I70" i="19"/>
  <c r="E70" i="19"/>
  <c r="C70" i="19"/>
  <c r="A70" i="19"/>
  <c r="I69" i="19"/>
  <c r="E69" i="19"/>
  <c r="C69" i="19"/>
  <c r="A69" i="19"/>
  <c r="I68" i="19"/>
  <c r="E68" i="19"/>
  <c r="C68" i="19"/>
  <c r="A68" i="19"/>
  <c r="I67" i="19"/>
  <c r="E67" i="19"/>
  <c r="C67" i="19"/>
  <c r="A67" i="19"/>
  <c r="I66" i="19"/>
  <c r="E66" i="19"/>
  <c r="C66" i="19"/>
  <c r="A66" i="19"/>
  <c r="I65" i="19"/>
  <c r="E65" i="19"/>
  <c r="C65" i="19"/>
  <c r="A65" i="19"/>
  <c r="I64" i="19"/>
  <c r="E64" i="19"/>
  <c r="C64" i="19"/>
  <c r="A64" i="19"/>
  <c r="I63" i="19"/>
  <c r="E63" i="19"/>
  <c r="C63" i="19"/>
  <c r="A63" i="19"/>
  <c r="I62" i="19"/>
  <c r="E62" i="19"/>
  <c r="C62" i="19"/>
  <c r="A62" i="19"/>
  <c r="I61" i="19"/>
  <c r="E61" i="19"/>
  <c r="C61" i="19"/>
  <c r="A61" i="19"/>
  <c r="I60" i="19"/>
  <c r="E60" i="19"/>
  <c r="C60" i="19"/>
  <c r="A60" i="19"/>
  <c r="I59" i="19"/>
  <c r="E59" i="19"/>
  <c r="C59" i="19"/>
  <c r="A59" i="19"/>
  <c r="I58" i="19"/>
  <c r="E58" i="19"/>
  <c r="C58" i="19"/>
  <c r="A58" i="19"/>
  <c r="I57" i="19"/>
  <c r="E57" i="19"/>
  <c r="C57" i="19"/>
  <c r="A57" i="19"/>
  <c r="I56" i="19"/>
  <c r="E56" i="19"/>
  <c r="C56" i="19"/>
  <c r="A56" i="19"/>
  <c r="I55" i="19"/>
  <c r="E55" i="19"/>
  <c r="C55" i="19"/>
  <c r="A55" i="19"/>
  <c r="I54" i="19"/>
  <c r="E54" i="19"/>
  <c r="C54" i="19"/>
  <c r="A54" i="19"/>
  <c r="I53" i="19"/>
  <c r="E53" i="19"/>
  <c r="C53" i="19"/>
  <c r="A53" i="19"/>
  <c r="I52" i="19"/>
  <c r="E52" i="19"/>
  <c r="C52" i="19"/>
  <c r="A52" i="19"/>
  <c r="I51" i="19"/>
  <c r="E51" i="19"/>
  <c r="C51" i="19"/>
  <c r="A51" i="19"/>
  <c r="I50" i="19"/>
  <c r="E50" i="19"/>
  <c r="C50" i="19"/>
  <c r="A50" i="19"/>
  <c r="I49" i="19"/>
  <c r="E49" i="19"/>
  <c r="C49" i="19"/>
  <c r="A49" i="19"/>
  <c r="I48" i="19"/>
  <c r="E48" i="19"/>
  <c r="C48" i="19"/>
  <c r="A48" i="19"/>
  <c r="I47" i="19"/>
  <c r="E47" i="19"/>
  <c r="C47" i="19"/>
  <c r="A47" i="19"/>
  <c r="I46" i="19"/>
  <c r="E46" i="19"/>
  <c r="C46" i="19"/>
  <c r="A46" i="19"/>
  <c r="I45" i="19"/>
  <c r="E45" i="19"/>
  <c r="C45" i="19"/>
  <c r="A45" i="19"/>
  <c r="I44" i="19"/>
  <c r="E44" i="19"/>
  <c r="C44" i="19"/>
  <c r="A44" i="19"/>
  <c r="I43" i="19"/>
  <c r="E43" i="19"/>
  <c r="C43" i="19"/>
  <c r="A43" i="19"/>
  <c r="I42" i="19"/>
  <c r="E42" i="19"/>
  <c r="C42" i="19"/>
  <c r="A42" i="19"/>
  <c r="I41" i="19"/>
  <c r="E41" i="19"/>
  <c r="C41" i="19"/>
  <c r="A41" i="19"/>
  <c r="I40" i="19"/>
  <c r="E40" i="19"/>
  <c r="C40" i="19"/>
  <c r="A40" i="19"/>
  <c r="I39" i="19"/>
  <c r="E39" i="19"/>
  <c r="C39" i="19"/>
  <c r="A39" i="19"/>
  <c r="I38" i="19"/>
  <c r="E38" i="19"/>
  <c r="C38" i="19"/>
  <c r="A38" i="19"/>
  <c r="I37" i="19"/>
  <c r="E37" i="19"/>
  <c r="C37" i="19"/>
  <c r="A37" i="19"/>
  <c r="I36" i="19"/>
  <c r="E36" i="19"/>
  <c r="C36" i="19"/>
  <c r="A36" i="19"/>
  <c r="I35" i="19"/>
  <c r="E35" i="19"/>
  <c r="C35" i="19"/>
  <c r="A35" i="19"/>
  <c r="I34" i="19"/>
  <c r="E34" i="19"/>
  <c r="C34" i="19"/>
  <c r="A34" i="19"/>
  <c r="I33" i="19"/>
  <c r="E33" i="19"/>
  <c r="C33" i="19"/>
  <c r="A33" i="19"/>
  <c r="I32" i="19"/>
  <c r="E32" i="19"/>
  <c r="C32" i="19"/>
  <c r="A32" i="19"/>
  <c r="I31" i="19"/>
  <c r="E31" i="19"/>
  <c r="C31" i="19"/>
  <c r="A31" i="19"/>
  <c r="I30" i="19"/>
  <c r="E30" i="19"/>
  <c r="C30" i="19"/>
  <c r="A30" i="19"/>
  <c r="I29" i="19"/>
  <c r="E29" i="19"/>
  <c r="C29" i="19"/>
  <c r="A29" i="19"/>
  <c r="I28" i="19"/>
  <c r="E28" i="19"/>
  <c r="C28" i="19"/>
  <c r="A28" i="19"/>
  <c r="I27" i="19"/>
  <c r="E27" i="19"/>
  <c r="C27" i="19"/>
  <c r="A27" i="19"/>
  <c r="I26" i="19"/>
  <c r="E26" i="19"/>
  <c r="C26" i="19"/>
  <c r="A26" i="19"/>
  <c r="I25" i="19"/>
  <c r="E25" i="19"/>
  <c r="C25" i="19"/>
  <c r="A25" i="19"/>
  <c r="I24" i="19"/>
  <c r="E24" i="19"/>
  <c r="C24" i="19"/>
  <c r="A24" i="19"/>
  <c r="I23" i="19"/>
  <c r="E23" i="19"/>
  <c r="C23" i="19"/>
  <c r="A23" i="19"/>
  <c r="I22" i="19"/>
  <c r="E22" i="19"/>
  <c r="C22" i="19"/>
  <c r="A22" i="19"/>
  <c r="I21" i="19"/>
  <c r="E21" i="19"/>
  <c r="C21" i="19"/>
  <c r="A21" i="19"/>
  <c r="I20" i="19"/>
  <c r="E20" i="19"/>
  <c r="C20" i="19"/>
  <c r="A20" i="19"/>
  <c r="I19" i="19"/>
  <c r="E19" i="19"/>
  <c r="C19" i="19"/>
  <c r="A19" i="19"/>
  <c r="I18" i="19"/>
  <c r="E18" i="19"/>
  <c r="C18" i="19"/>
  <c r="A18" i="19"/>
  <c r="I17" i="19"/>
  <c r="E17" i="19"/>
  <c r="C17" i="19"/>
  <c r="A17" i="19"/>
  <c r="I16" i="19"/>
  <c r="E16" i="19"/>
  <c r="C16" i="19"/>
  <c r="A16" i="19"/>
  <c r="I15" i="19"/>
  <c r="E15" i="19"/>
  <c r="C15" i="19"/>
  <c r="A15" i="19"/>
  <c r="I14" i="19"/>
  <c r="E14" i="19"/>
  <c r="C14" i="19"/>
  <c r="A14" i="19"/>
  <c r="I13" i="19"/>
  <c r="E13" i="19"/>
  <c r="C13" i="19"/>
  <c r="A13" i="19"/>
  <c r="I12" i="19"/>
  <c r="E12" i="19"/>
  <c r="C12" i="19"/>
  <c r="A12" i="19"/>
  <c r="I11" i="19"/>
  <c r="E11" i="19"/>
  <c r="C11" i="19"/>
  <c r="A11" i="19"/>
  <c r="I10" i="19"/>
  <c r="E10" i="19"/>
  <c r="C10" i="19"/>
  <c r="A10" i="19"/>
  <c r="I9" i="19"/>
  <c r="E9" i="19"/>
  <c r="C9" i="19"/>
  <c r="A9" i="19"/>
  <c r="I8" i="19"/>
  <c r="E8" i="19"/>
  <c r="C8" i="19"/>
  <c r="A8" i="19"/>
  <c r="I7" i="19"/>
  <c r="E7" i="19"/>
  <c r="C7" i="19"/>
  <c r="A7" i="19"/>
  <c r="I6" i="19"/>
  <c r="E6" i="19"/>
  <c r="C6" i="19"/>
  <c r="A6" i="19"/>
  <c r="I5" i="19"/>
  <c r="E5" i="19"/>
  <c r="C5" i="19"/>
  <c r="A5" i="19"/>
  <c r="I4" i="19"/>
  <c r="E4" i="19"/>
  <c r="C4" i="19"/>
  <c r="A4" i="19"/>
  <c r="I3" i="19"/>
  <c r="A3" i="19"/>
  <c r="I2" i="19"/>
  <c r="E2" i="19"/>
  <c r="A2" i="19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3" i="1"/>
  <c r="I4" i="1"/>
  <c r="H26" i="2"/>
  <c r="H25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D24" i="18"/>
  <c r="D23" i="18"/>
  <c r="D12" i="18"/>
  <c r="D13" i="18"/>
  <c r="E6" i="1"/>
  <c r="E14" i="1"/>
  <c r="H34" i="2"/>
  <c r="E4" i="1"/>
  <c r="H33" i="2"/>
  <c r="H39" i="2"/>
  <c r="H38" i="2"/>
  <c r="H37" i="2"/>
  <c r="H36" i="2"/>
  <c r="H35" i="2"/>
  <c r="H32" i="2"/>
  <c r="H31" i="2"/>
  <c r="H30" i="2"/>
  <c r="D14" i="18"/>
  <c r="D15" i="18"/>
  <c r="D16" i="18"/>
  <c r="D17" i="18"/>
  <c r="D18" i="18"/>
  <c r="D19" i="18"/>
  <c r="D20" i="18"/>
  <c r="D21" i="18"/>
  <c r="D22" i="18"/>
  <c r="D4" i="18"/>
  <c r="D5" i="18"/>
  <c r="D6" i="18"/>
  <c r="D7" i="18"/>
  <c r="D8" i="18"/>
  <c r="D9" i="18"/>
  <c r="D10" i="18"/>
  <c r="D11" i="18"/>
  <c r="D3" i="18"/>
  <c r="E5" i="1"/>
  <c r="E7" i="1"/>
  <c r="E8" i="1"/>
  <c r="E9" i="1"/>
  <c r="E10" i="1"/>
  <c r="E11" i="1"/>
  <c r="E12" i="1"/>
  <c r="E13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A201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2" i="1"/>
</calcChain>
</file>

<file path=xl/sharedStrings.xml><?xml version="1.0" encoding="utf-8"?>
<sst xmlns="http://schemas.openxmlformats.org/spreadsheetml/2006/main" count="263" uniqueCount="117">
  <si>
    <t>id</t>
  </si>
  <si>
    <t>price_course_name</t>
  </si>
  <si>
    <t>price_course_code</t>
  </si>
  <si>
    <t>access_method_name</t>
    <phoneticPr fontId="18"/>
  </si>
  <si>
    <t>access_method_code</t>
    <phoneticPr fontId="18"/>
  </si>
  <si>
    <t>model_name</t>
  </si>
  <si>
    <t>model_code</t>
  </si>
  <si>
    <t>sim_name</t>
  </si>
  <si>
    <t>sim_code</t>
  </si>
  <si>
    <t>auth_id</t>
  </si>
  <si>
    <t>password</t>
  </si>
  <si>
    <t>domestic_ip_act</t>
    <phoneticPr fontId="18"/>
  </si>
  <si>
    <t>domestic_ip_sby</t>
  </si>
  <si>
    <t>RINKモバイル データ通信 1GB</t>
  </si>
  <si>
    <t>LTE</t>
  </si>
  <si>
    <t>MR10LN キッティング付(RINKモバイル)</t>
    <rPh sb="13" eb="14">
      <t>ツ</t>
    </rPh>
    <phoneticPr fontId="0"/>
  </si>
  <si>
    <t>MR10LN (RINKモバイル)</t>
  </si>
  <si>
    <t>回線申し込み</t>
    <rPh sb="0" eb="2">
      <t>カイセン</t>
    </rPh>
    <rPh sb="2" eb="3">
      <t>モウ</t>
    </rPh>
    <rPh sb="4" eb="5">
      <t>コ</t>
    </rPh>
    <phoneticPr fontId="18"/>
  </si>
  <si>
    <t>access_method_name</t>
  </si>
  <si>
    <t>access_method_code</t>
  </si>
  <si>
    <t>imei_auth</t>
  </si>
  <si>
    <t>imei_auth_code</t>
  </si>
  <si>
    <t>roaming_limit_name</t>
  </si>
  <si>
    <t>roaming_limit_code</t>
  </si>
  <si>
    <t>roaming_access_method_name</t>
    <phoneticPr fontId="18"/>
  </si>
  <si>
    <t>roaming_access_method_code</t>
    <phoneticPr fontId="18"/>
  </si>
  <si>
    <t>T3003051</t>
  </si>
  <si>
    <t>通信機器購入なし</t>
    <rPh sb="0" eb="2">
      <t>ツウシン</t>
    </rPh>
    <rPh sb="2" eb="4">
      <t>キキ</t>
    </rPh>
    <rPh sb="4" eb="6">
      <t>コウニュウ</t>
    </rPh>
    <phoneticPr fontId="18"/>
  </si>
  <si>
    <t>LTE
SMS無し</t>
    <rPh sb="7" eb="8">
      <t>ナ</t>
    </rPh>
    <phoneticPr fontId="18"/>
  </si>
  <si>
    <t>無</t>
    <rPh sb="0" eb="1">
      <t>ナ</t>
    </rPh>
    <phoneticPr fontId="18"/>
  </si>
  <si>
    <t>利用しない</t>
    <rPh sb="0" eb="2">
      <t>リヨウ</t>
    </rPh>
    <phoneticPr fontId="18"/>
  </si>
  <si>
    <t>dummy</t>
    <phoneticPr fontId="18"/>
  </si>
  <si>
    <t>3G</t>
  </si>
  <si>
    <t>RINKモバイル データ通信 3GB</t>
  </si>
  <si>
    <t>T3003052</t>
  </si>
  <si>
    <t>5G-NSA</t>
    <phoneticPr fontId="18"/>
  </si>
  <si>
    <t>T2000828</t>
  </si>
  <si>
    <t>マルチカットSIM</t>
    <phoneticPr fontId="18"/>
  </si>
  <si>
    <t>T2000823</t>
  </si>
  <si>
    <t>有</t>
    <rPh sb="0" eb="1">
      <t>ア</t>
    </rPh>
    <phoneticPr fontId="18"/>
  </si>
  <si>
    <r>
      <t>5</t>
    </r>
    <r>
      <rPr>
        <sz val="11"/>
        <color theme="1"/>
        <rFont val="ＭＳ Ｐゴシック"/>
        <family val="2"/>
        <charset val="128"/>
        <scheme val="minor"/>
      </rPr>
      <t>万円</t>
    </r>
  </si>
  <si>
    <t>T6000042</t>
  </si>
  <si>
    <t>RINKモバイル データ通信 5GB</t>
  </si>
  <si>
    <t>T3003053</t>
  </si>
  <si>
    <t>MR10LN あんしん保証3年(RINKモバイル)</t>
  </si>
  <si>
    <t>T2000829</t>
  </si>
  <si>
    <t>※STEP2で提供予定</t>
    <rPh sb="7" eb="9">
      <t>テイキョウ</t>
    </rPh>
    <rPh sb="9" eb="11">
      <t>ヨテイ</t>
    </rPh>
    <phoneticPr fontId="18"/>
  </si>
  <si>
    <r>
      <t>10</t>
    </r>
    <r>
      <rPr>
        <sz val="11"/>
        <color theme="1"/>
        <rFont val="ＭＳ Ｐゴシック"/>
        <family val="2"/>
        <charset val="128"/>
        <scheme val="minor"/>
      </rPr>
      <t>万円</t>
    </r>
  </si>
  <si>
    <t>T6000037</t>
  </si>
  <si>
    <t>RINKモバイル データ通信 7GB</t>
  </si>
  <si>
    <t>T3003054</t>
  </si>
  <si>
    <t>T2000830</t>
  </si>
  <si>
    <t>5G-NSA
SMS無し</t>
    <rPh sb="10" eb="11">
      <t>ナ</t>
    </rPh>
    <phoneticPr fontId="18"/>
  </si>
  <si>
    <r>
      <t>20</t>
    </r>
    <r>
      <rPr>
        <sz val="11"/>
        <color theme="1"/>
        <rFont val="ＭＳ Ｐゴシック"/>
        <family val="2"/>
        <charset val="128"/>
        <scheme val="minor"/>
      </rPr>
      <t>万円</t>
    </r>
  </si>
  <si>
    <t>T6000038</t>
  </si>
  <si>
    <t>RINKモバイル データ通信 10GB</t>
  </si>
  <si>
    <t>T3003055</t>
  </si>
  <si>
    <t>MR10LN あんしん保証3年 キッティング付(RINKモバイル)</t>
  </si>
  <si>
    <t>T2000831</t>
  </si>
  <si>
    <t>T2000822</t>
  </si>
  <si>
    <r>
      <t>30</t>
    </r>
    <r>
      <rPr>
        <sz val="11"/>
        <color theme="1"/>
        <rFont val="ＭＳ Ｐゴシック"/>
        <family val="2"/>
        <charset val="128"/>
        <scheme val="minor"/>
      </rPr>
      <t>万円</t>
    </r>
  </si>
  <si>
    <t>T6000039</t>
  </si>
  <si>
    <t>RINKモバイル データ通信 20GB</t>
  </si>
  <si>
    <t>T3003056</t>
  </si>
  <si>
    <t>UX302NC-R(S)(RINKモバイル)</t>
  </si>
  <si>
    <t>T2000832</t>
  </si>
  <si>
    <r>
      <t>40</t>
    </r>
    <r>
      <rPr>
        <sz val="11"/>
        <color theme="1"/>
        <rFont val="ＭＳ Ｐゴシック"/>
        <family val="2"/>
        <charset val="128"/>
        <scheme val="minor"/>
      </rPr>
      <t>万円</t>
    </r>
  </si>
  <si>
    <t>T6000040</t>
  </si>
  <si>
    <t>RINKモバイル データ通信 30GB</t>
  </si>
  <si>
    <t>T3003057</t>
  </si>
  <si>
    <t>UX302NC-R(S) あんしん保証3年(RINKモバイル)</t>
  </si>
  <si>
    <t>T2000833</t>
  </si>
  <si>
    <t>LTE
SMS有り</t>
    <rPh sb="7" eb="8">
      <t>ア</t>
    </rPh>
    <phoneticPr fontId="18"/>
  </si>
  <si>
    <r>
      <t>50</t>
    </r>
    <r>
      <rPr>
        <sz val="11"/>
        <color theme="1"/>
        <rFont val="ＭＳ Ｐゴシック"/>
        <family val="2"/>
        <charset val="128"/>
        <scheme val="minor"/>
      </rPr>
      <t>万円</t>
    </r>
  </si>
  <si>
    <t>T6000041</t>
  </si>
  <si>
    <t>RINKモバイル データ通信 40GB</t>
  </si>
  <si>
    <t>T3003058</t>
  </si>
  <si>
    <t>-</t>
    <phoneticPr fontId="18"/>
  </si>
  <si>
    <r>
      <t>60</t>
    </r>
    <r>
      <rPr>
        <sz val="11"/>
        <color theme="1"/>
        <rFont val="ＭＳ Ｐゴシック"/>
        <family val="2"/>
        <charset val="128"/>
        <scheme val="minor"/>
      </rPr>
      <t>万円</t>
    </r>
  </si>
  <si>
    <t>T6000043</t>
  </si>
  <si>
    <t>RINKモバイル データ通信 50GB</t>
  </si>
  <si>
    <t>T3003059</t>
  </si>
  <si>
    <r>
      <t>70</t>
    </r>
    <r>
      <rPr>
        <sz val="11"/>
        <color theme="1"/>
        <rFont val="ＭＳ Ｐゴシック"/>
        <family val="2"/>
        <charset val="128"/>
        <scheme val="minor"/>
      </rPr>
      <t>万円</t>
    </r>
  </si>
  <si>
    <t>T6000044</t>
  </si>
  <si>
    <t>RINKモバイル データ通信 100GB</t>
  </si>
  <si>
    <t>T3003060</t>
  </si>
  <si>
    <t>5G-NSA
SMS有り</t>
    <rPh sb="10" eb="11">
      <t>ア</t>
    </rPh>
    <phoneticPr fontId="18"/>
  </si>
  <si>
    <r>
      <t>80</t>
    </r>
    <r>
      <rPr>
        <sz val="11"/>
        <color theme="1"/>
        <rFont val="ＭＳ Ｐゴシック"/>
        <family val="2"/>
        <charset val="128"/>
        <scheme val="minor"/>
      </rPr>
      <t>万円</t>
    </r>
  </si>
  <si>
    <t>T6000045</t>
  </si>
  <si>
    <t>MR51FN (RINKモバイル)</t>
  </si>
  <si>
    <t>T2000824</t>
  </si>
  <si>
    <r>
      <t>90</t>
    </r>
    <r>
      <rPr>
        <sz val="11"/>
        <color theme="1"/>
        <rFont val="ＭＳ Ｐゴシック"/>
        <family val="2"/>
        <charset val="128"/>
        <scheme val="minor"/>
      </rPr>
      <t>万円</t>
    </r>
  </si>
  <si>
    <t>T6000046</t>
  </si>
  <si>
    <t>MR51FN あんしん保証3年(RINKモバイル)</t>
  </si>
  <si>
    <t>T2000825</t>
  </si>
  <si>
    <r>
      <t>100</t>
    </r>
    <r>
      <rPr>
        <sz val="11"/>
        <color theme="1"/>
        <rFont val="ＭＳ Ｐゴシック"/>
        <family val="2"/>
        <charset val="128"/>
        <scheme val="minor"/>
      </rPr>
      <t>万円</t>
    </r>
  </si>
  <si>
    <t>T6000036</t>
  </si>
  <si>
    <t>MR51FN キッティング付(RINKモバイル)</t>
    <rPh sb="13" eb="14">
      <t>ツ</t>
    </rPh>
    <phoneticPr fontId="0"/>
  </si>
  <si>
    <t>T2000826</t>
  </si>
  <si>
    <t>制限なし</t>
  </si>
  <si>
    <t>T6000047</t>
  </si>
  <si>
    <t>MR51FN あんしん保証3年 キッティング付(RINKモバイル)</t>
  </si>
  <si>
    <t>T2000827</t>
  </si>
  <si>
    <t>★選択できません（料金コースとアクセス方式を先に選択してください）</t>
    <rPh sb="1" eb="3">
      <t>センタク</t>
    </rPh>
    <rPh sb="9" eb="11">
      <t>リョウキン</t>
    </rPh>
    <rPh sb="19" eb="21">
      <t>ホウシキ</t>
    </rPh>
    <rPh sb="22" eb="23">
      <t>サキ</t>
    </rPh>
    <rPh sb="24" eb="26">
      <t>センタク</t>
    </rPh>
    <phoneticPr fontId="18"/>
  </si>
  <si>
    <t>SIMのみのコード表</t>
    <rPh sb="9" eb="10">
      <t>ヒョウ</t>
    </rPh>
    <phoneticPr fontId="18"/>
  </si>
  <si>
    <t>関数用</t>
    <rPh sb="0" eb="2">
      <t>カンスウ</t>
    </rPh>
    <rPh sb="2" eb="3">
      <t>ヨウ</t>
    </rPh>
    <phoneticPr fontId="18"/>
  </si>
  <si>
    <t>マルチカットSIM</t>
  </si>
  <si>
    <t>5G-NSA</t>
  </si>
  <si>
    <t>端末セットのコード表</t>
    <rPh sb="0" eb="2">
      <t>タンマツ</t>
    </rPh>
    <rPh sb="9" eb="10">
      <t>ヒョウ</t>
    </rPh>
    <phoneticPr fontId="18"/>
  </si>
  <si>
    <t>アクセス方式と通信機器</t>
    <rPh sb="4" eb="6">
      <t>ホウシキ</t>
    </rPh>
    <rPh sb="7" eb="9">
      <t>ツウシン</t>
    </rPh>
    <rPh sb="9" eb="11">
      <t>キキ</t>
    </rPh>
    <phoneticPr fontId="3"/>
  </si>
  <si>
    <t>アクセス方式</t>
    <rPh sb="4" eb="6">
      <t>ホウシキ</t>
    </rPh>
    <phoneticPr fontId="3"/>
  </si>
  <si>
    <t>通信機器名</t>
    <rPh sb="0" eb="2">
      <t>ツウシン</t>
    </rPh>
    <rPh sb="2" eb="4">
      <t>キキ</t>
    </rPh>
    <rPh sb="4" eb="5">
      <t>メイ</t>
    </rPh>
    <phoneticPr fontId="3"/>
  </si>
  <si>
    <t>OK/NG</t>
    <phoneticPr fontId="18"/>
  </si>
  <si>
    <t>LTE</t>
    <phoneticPr fontId="18"/>
  </si>
  <si>
    <t>OK</t>
    <phoneticPr fontId="18"/>
  </si>
  <si>
    <t>NG</t>
    <phoneticPr fontId="18"/>
  </si>
  <si>
    <t>⇒SwimmyテーブルではNG、仕様書ではOKに見える。プルダウンの修正要？</t>
    <rPh sb="16" eb="19">
      <t>シヨウショ</t>
    </rPh>
    <rPh sb="24" eb="25">
      <t>ミ</t>
    </rPh>
    <rPh sb="34" eb="36">
      <t>シュウセイ</t>
    </rPh>
    <rPh sb="36" eb="37">
      <t>ヨウ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</si>
</sst>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</font>
    <font>
      <sz val="10"/>
      <color theme="1"/>
      <name val="Arial"/>
      <family val="2"/>
      <charset val="128"/>
    </font>
    <font>
      <sz val="10"/>
      <color theme="1"/>
      <name val="ＭＳ Ｐゴシック"/>
      <family val="2"/>
      <charset val="128"/>
    </font>
    <font>
      <sz val="10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2" fillId="0" borderId="0"/>
  </cellStyleXfs>
  <cellXfs count="36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0" fontId="0" fillId="0" borderId="10" xfId="0" applyBorder="1" applyProtection="1">
      <alignment vertical="center"/>
      <protection locked="0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4" borderId="10" xfId="0" applyFill="1" applyBorder="1">
      <alignment vertical="center"/>
    </xf>
    <xf numFmtId="49" fontId="0" fillId="0" borderId="10" xfId="0" applyNumberFormat="1" applyBorder="1" applyProtection="1">
      <alignment vertical="center"/>
      <protection locked="0"/>
    </xf>
    <xf numFmtId="0" fontId="21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13" xfId="0" applyBorder="1">
      <alignment vertical="center"/>
    </xf>
    <xf numFmtId="0" fontId="20" fillId="0" borderId="0" xfId="0" applyFont="1">
      <alignment vertical="center"/>
    </xf>
    <xf numFmtId="0" fontId="27" fillId="0" borderId="0" xfId="0" applyFont="1">
      <alignment vertical="center"/>
    </xf>
    <xf numFmtId="0" fontId="0" fillId="35" borderId="10" xfId="0" applyFill="1" applyBorder="1">
      <alignment vertical="center"/>
    </xf>
    <xf numFmtId="0" fontId="24" fillId="35" borderId="10" xfId="42" applyFont="1" applyFill="1" applyBorder="1"/>
    <xf numFmtId="0" fontId="0" fillId="35" borderId="13" xfId="0" applyFill="1" applyBorder="1">
      <alignment vertical="center"/>
    </xf>
    <xf numFmtId="0" fontId="21" fillId="0" borderId="10" xfId="0" applyFont="1" applyBorder="1">
      <alignment vertical="center"/>
    </xf>
    <xf numFmtId="0" fontId="19" fillId="0" borderId="10" xfId="0" applyFont="1" applyBorder="1">
      <alignment vertical="center"/>
    </xf>
    <xf numFmtId="0" fontId="20" fillId="35" borderId="10" xfId="0" applyFont="1" applyFill="1" applyBorder="1">
      <alignment vertical="center"/>
    </xf>
    <xf numFmtId="0" fontId="0" fillId="35" borderId="14" xfId="0" applyFill="1" applyBorder="1">
      <alignment vertical="center"/>
    </xf>
    <xf numFmtId="0" fontId="23" fillId="35" borderId="10" xfId="42" applyFont="1" applyFill="1" applyBorder="1"/>
    <xf numFmtId="0" fontId="0" fillId="0" borderId="14" xfId="0" applyBorder="1">
      <alignment vertical="center"/>
    </xf>
    <xf numFmtId="0" fontId="20" fillId="0" borderId="10" xfId="0" applyFont="1" applyBorder="1">
      <alignment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4" fillId="0" borderId="10" xfId="42" applyFont="1" applyBorder="1"/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35" borderId="17" xfId="0" applyFill="1" applyBorder="1" applyAlignment="1">
      <alignment horizontal="center" vertical="center" wrapText="1"/>
    </xf>
    <xf numFmtId="0" fontId="0" fillId="35" borderId="12" xfId="0" applyFill="1" applyBorder="1" applyAlignment="1">
      <alignment horizontal="center" vertical="center" wrapText="1"/>
    </xf>
    <xf numFmtId="0" fontId="0" fillId="3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良い" xfId="6" builtinId="26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FFFF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3</xdr:row>
      <xdr:rowOff>74930</xdr:rowOff>
    </xdr:from>
    <xdr:to>
      <xdr:col>1</xdr:col>
      <xdr:colOff>2616200</xdr:colOff>
      <xdr:row>7</xdr:row>
      <xdr:rowOff>22860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CDC71F20-D11F-9BA2-4367-7AFBF71206ED}"/>
            </a:ext>
          </a:extLst>
        </xdr:cNvPr>
        <xdr:cNvSpPr/>
      </xdr:nvSpPr>
      <xdr:spPr>
        <a:xfrm>
          <a:off x="655320" y="577850"/>
          <a:ext cx="2273300" cy="618490"/>
        </a:xfrm>
        <a:prstGeom prst="wedgeRectCallout">
          <a:avLst>
            <a:gd name="adj1" fmla="val 18998"/>
            <a:gd name="adj2" fmla="val -73410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料金プラン・コース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をプルダウンから選択してください</a:t>
          </a:r>
        </a:p>
      </xdr:txBody>
    </xdr:sp>
    <xdr:clientData/>
  </xdr:twoCellAnchor>
  <xdr:twoCellAnchor>
    <xdr:from>
      <xdr:col>2</xdr:col>
      <xdr:colOff>238760</xdr:colOff>
      <xdr:row>3</xdr:row>
      <xdr:rowOff>90170</xdr:rowOff>
    </xdr:from>
    <xdr:to>
      <xdr:col>3</xdr:col>
      <xdr:colOff>1206500</xdr:colOff>
      <xdr:row>7</xdr:row>
      <xdr:rowOff>35560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E807ADA3-A456-4CBF-874B-99BA8CEC04DF}"/>
            </a:ext>
          </a:extLst>
        </xdr:cNvPr>
        <xdr:cNvSpPr/>
      </xdr:nvSpPr>
      <xdr:spPr>
        <a:xfrm>
          <a:off x="3515360" y="593090"/>
          <a:ext cx="2133600" cy="615950"/>
        </a:xfrm>
        <a:prstGeom prst="wedgeRectCallout">
          <a:avLst>
            <a:gd name="adj1" fmla="val 18998"/>
            <a:gd name="adj2" fmla="val -73410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アクセス方式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をプルダウンから選択してください</a:t>
          </a:r>
        </a:p>
      </xdr:txBody>
    </xdr:sp>
    <xdr:clientData/>
  </xdr:twoCellAnchor>
  <xdr:twoCellAnchor>
    <xdr:from>
      <xdr:col>5</xdr:col>
      <xdr:colOff>142240</xdr:colOff>
      <xdr:row>3</xdr:row>
      <xdr:rowOff>92710</xdr:rowOff>
    </xdr:from>
    <xdr:to>
      <xdr:col>5</xdr:col>
      <xdr:colOff>2272030</xdr:colOff>
      <xdr:row>7</xdr:row>
      <xdr:rowOff>31750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A3F71D70-9B4E-4C9D-B629-47894F2AC830}"/>
            </a:ext>
          </a:extLst>
        </xdr:cNvPr>
        <xdr:cNvSpPr/>
      </xdr:nvSpPr>
      <xdr:spPr>
        <a:xfrm>
          <a:off x="7259320" y="595630"/>
          <a:ext cx="2129790" cy="609600"/>
        </a:xfrm>
        <a:prstGeom prst="wedgeRectCallout">
          <a:avLst>
            <a:gd name="adj1" fmla="val 18998"/>
            <a:gd name="adj2" fmla="val -73410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通信機器機種名</a:t>
          </a:r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をプルダウンから選択してください</a:t>
          </a:r>
        </a:p>
      </xdr:txBody>
    </xdr:sp>
    <xdr:clientData/>
  </xdr:twoCellAnchor>
  <xdr:twoCellAnchor>
    <xdr:from>
      <xdr:col>5</xdr:col>
      <xdr:colOff>3233420</xdr:colOff>
      <xdr:row>3</xdr:row>
      <xdr:rowOff>134620</xdr:rowOff>
    </xdr:from>
    <xdr:to>
      <xdr:col>7</xdr:col>
      <xdr:colOff>913130</xdr:colOff>
      <xdr:row>7</xdr:row>
      <xdr:rowOff>62230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9720A4C2-8B2A-4BFD-94CD-992F77BCAC3D}"/>
            </a:ext>
          </a:extLst>
        </xdr:cNvPr>
        <xdr:cNvSpPr/>
      </xdr:nvSpPr>
      <xdr:spPr>
        <a:xfrm>
          <a:off x="10350500" y="637540"/>
          <a:ext cx="2129790" cy="598170"/>
        </a:xfrm>
        <a:prstGeom prst="wedgeRectCallout">
          <a:avLst>
            <a:gd name="adj1" fmla="val 18998"/>
            <a:gd name="adj2" fmla="val -73410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マルチカット</a:t>
          </a:r>
          <a:r>
            <a:rPr kumimoji="1" lang="en-US" altLang="ja-JP" sz="1100">
              <a:solidFill>
                <a:schemeClr val="tx1"/>
              </a:solidFill>
            </a:rPr>
            <a:t>SIM"</a:t>
          </a:r>
          <a:r>
            <a:rPr kumimoji="1" lang="ja-JP" altLang="en-US" sz="1100">
              <a:solidFill>
                <a:schemeClr val="tx1"/>
              </a:solidFill>
            </a:rPr>
            <a:t>を選択してください</a:t>
          </a:r>
        </a:p>
      </xdr:txBody>
    </xdr:sp>
    <xdr:clientData/>
  </xdr:twoCellAnchor>
  <xdr:twoCellAnchor>
    <xdr:from>
      <xdr:col>7</xdr:col>
      <xdr:colOff>1003300</xdr:colOff>
      <xdr:row>3</xdr:row>
      <xdr:rowOff>142240</xdr:rowOff>
    </xdr:from>
    <xdr:to>
      <xdr:col>9</xdr:col>
      <xdr:colOff>1089660</xdr:colOff>
      <xdr:row>10</xdr:row>
      <xdr:rowOff>22860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B1812013-60E5-48A6-B502-1552BF979704}"/>
            </a:ext>
          </a:extLst>
        </xdr:cNvPr>
        <xdr:cNvSpPr/>
      </xdr:nvSpPr>
      <xdr:spPr>
        <a:xfrm>
          <a:off x="12570460" y="645160"/>
          <a:ext cx="1892300" cy="1054100"/>
        </a:xfrm>
        <a:prstGeom prst="wedgeRectCallout">
          <a:avLst>
            <a:gd name="adj1" fmla="val 18195"/>
            <a:gd name="adj2" fmla="val -68557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認証</a:t>
          </a:r>
          <a:r>
            <a:rPr kumimoji="1" lang="en-US" altLang="ja-JP" sz="1100">
              <a:solidFill>
                <a:schemeClr val="tx1"/>
              </a:solidFill>
            </a:rPr>
            <a:t>ID"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利用できる文字は、半角英数字、または記号「</a:t>
          </a:r>
          <a:r>
            <a:rPr kumimoji="1" lang="en-US" altLang="ja-JP" sz="1100">
              <a:solidFill>
                <a:schemeClr val="tx1"/>
              </a:solidFill>
            </a:rPr>
            <a:t>-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.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_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=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+</a:t>
          </a:r>
          <a:r>
            <a:rPr kumimoji="1" lang="ja-JP" altLang="en-US" sz="1100">
              <a:solidFill>
                <a:schemeClr val="tx1"/>
              </a:solidFill>
            </a:rPr>
            <a:t>」です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入力制限：</a:t>
          </a:r>
          <a:r>
            <a:rPr kumimoji="1" lang="en-US" altLang="ja-JP" sz="1100">
              <a:solidFill>
                <a:schemeClr val="tx1"/>
              </a:solidFill>
            </a:rPr>
            <a:t>10</a:t>
          </a:r>
          <a:r>
            <a:rPr kumimoji="1" lang="ja-JP" altLang="en-US" sz="1100">
              <a:solidFill>
                <a:schemeClr val="tx1"/>
              </a:solidFill>
            </a:rPr>
            <a:t>桁まで</a:t>
          </a:r>
        </a:p>
      </xdr:txBody>
    </xdr:sp>
    <xdr:clientData/>
  </xdr:twoCellAnchor>
  <xdr:twoCellAnchor>
    <xdr:from>
      <xdr:col>9</xdr:col>
      <xdr:colOff>1132840</xdr:colOff>
      <xdr:row>3</xdr:row>
      <xdr:rowOff>134620</xdr:rowOff>
    </xdr:from>
    <xdr:to>
      <xdr:col>11</xdr:col>
      <xdr:colOff>222250</xdr:colOff>
      <xdr:row>13</xdr:row>
      <xdr:rowOff>160020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680D96AD-47A4-4E3F-9DA2-BBA96B2CF243}"/>
            </a:ext>
          </a:extLst>
        </xdr:cNvPr>
        <xdr:cNvSpPr/>
      </xdr:nvSpPr>
      <xdr:spPr>
        <a:xfrm>
          <a:off x="14505940" y="637540"/>
          <a:ext cx="1604010" cy="1701800"/>
        </a:xfrm>
        <a:prstGeom prst="wedgeRectCallout">
          <a:avLst>
            <a:gd name="adj1" fmla="val -18652"/>
            <a:gd name="adj2" fmla="val -63129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"PW"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利用できる文字は、半角英数字、または記号 「</a:t>
          </a:r>
          <a:r>
            <a:rPr kumimoji="1" lang="en-US" altLang="ja-JP" sz="1100">
              <a:solidFill>
                <a:schemeClr val="tx1"/>
              </a:solidFill>
            </a:rPr>
            <a:t>!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$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%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&amp;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'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(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)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-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/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;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&lt;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?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[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]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^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{</a:t>
          </a:r>
          <a:r>
            <a:rPr kumimoji="1" lang="ja-JP" altLang="en-US" sz="1100">
              <a:solidFill>
                <a:schemeClr val="tx1"/>
              </a:solidFill>
            </a:rPr>
            <a:t>」、「</a:t>
          </a:r>
          <a:r>
            <a:rPr kumimoji="1" lang="en-US" altLang="ja-JP" sz="1100">
              <a:solidFill>
                <a:schemeClr val="tx1"/>
              </a:solidFill>
            </a:rPr>
            <a:t>}</a:t>
          </a:r>
          <a:r>
            <a:rPr kumimoji="1" lang="ja-JP" altLang="en-US" sz="1100">
              <a:solidFill>
                <a:schemeClr val="tx1"/>
              </a:solidFill>
            </a:rPr>
            <a:t>」 です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入力制限：</a:t>
          </a:r>
          <a:r>
            <a:rPr kumimoji="1" lang="en-US" altLang="ja-JP" sz="1100">
              <a:solidFill>
                <a:schemeClr val="tx1"/>
              </a:solidFill>
            </a:rPr>
            <a:t>15</a:t>
          </a:r>
          <a:r>
            <a:rPr kumimoji="1" lang="ja-JP" altLang="en-US" sz="1100">
              <a:solidFill>
                <a:schemeClr val="tx1"/>
              </a:solidFill>
            </a:rPr>
            <a:t>桁まで</a:t>
          </a: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321310</xdr:colOff>
      <xdr:row>3</xdr:row>
      <xdr:rowOff>139700</xdr:rowOff>
    </xdr:from>
    <xdr:to>
      <xdr:col>12</xdr:col>
      <xdr:colOff>967740</xdr:colOff>
      <xdr:row>7</xdr:row>
      <xdr:rowOff>68580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7F7387BD-3A0B-4B80-804F-33DB8330A9A7}"/>
            </a:ext>
          </a:extLst>
        </xdr:cNvPr>
        <xdr:cNvSpPr/>
      </xdr:nvSpPr>
      <xdr:spPr>
        <a:xfrm>
          <a:off x="16209010" y="642620"/>
          <a:ext cx="1705610" cy="599440"/>
        </a:xfrm>
        <a:prstGeom prst="wedgeRectCallout">
          <a:avLst>
            <a:gd name="adj1" fmla="val -18652"/>
            <a:gd name="adj2" fmla="val -103024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国内通信</a:t>
          </a:r>
          <a:r>
            <a:rPr kumimoji="1" lang="en-US" altLang="ja-JP" sz="1100">
              <a:solidFill>
                <a:schemeClr val="tx1"/>
              </a:solidFill>
            </a:rPr>
            <a:t>IP</a:t>
          </a:r>
          <a:r>
            <a:rPr kumimoji="1" lang="ja-JP" altLang="en-US" sz="1100">
              <a:solidFill>
                <a:schemeClr val="tx1"/>
              </a:solidFill>
            </a:rPr>
            <a:t>アドレス</a:t>
          </a:r>
          <a:r>
            <a:rPr kumimoji="1" lang="en-US" altLang="ja-JP" sz="1100">
              <a:solidFill>
                <a:schemeClr val="tx1"/>
              </a:solidFill>
            </a:rPr>
            <a:t>(ACT)"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</a:p>
      </xdr:txBody>
    </xdr:sp>
    <xdr:clientData/>
  </xdr:twoCellAnchor>
  <xdr:twoCellAnchor>
    <xdr:from>
      <xdr:col>12</xdr:col>
      <xdr:colOff>1026160</xdr:colOff>
      <xdr:row>3</xdr:row>
      <xdr:rowOff>132080</xdr:rowOff>
    </xdr:from>
    <xdr:to>
      <xdr:col>15</xdr:col>
      <xdr:colOff>449580</xdr:colOff>
      <xdr:row>7</xdr:row>
      <xdr:rowOff>58420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B7736098-B4CA-495C-A062-A235B51B82BD}"/>
            </a:ext>
          </a:extLst>
        </xdr:cNvPr>
        <xdr:cNvSpPr/>
      </xdr:nvSpPr>
      <xdr:spPr>
        <a:xfrm>
          <a:off x="17973040" y="635000"/>
          <a:ext cx="1701800" cy="596900"/>
        </a:xfrm>
        <a:prstGeom prst="wedgeRectCallout">
          <a:avLst>
            <a:gd name="adj1" fmla="val -62980"/>
            <a:gd name="adj2" fmla="val -90258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"</a:t>
          </a:r>
          <a:r>
            <a:rPr kumimoji="1" lang="ja-JP" altLang="en-US" sz="1100">
              <a:solidFill>
                <a:schemeClr val="tx1"/>
              </a:solidFill>
            </a:rPr>
            <a:t>国内通信</a:t>
          </a:r>
          <a:r>
            <a:rPr kumimoji="1" lang="en-US" altLang="ja-JP" sz="1100">
              <a:solidFill>
                <a:schemeClr val="tx1"/>
              </a:solidFill>
            </a:rPr>
            <a:t>IP</a:t>
          </a:r>
          <a:r>
            <a:rPr kumimoji="1" lang="ja-JP" altLang="en-US" sz="1100">
              <a:solidFill>
                <a:schemeClr val="tx1"/>
              </a:solidFill>
            </a:rPr>
            <a:t>アドレス</a:t>
          </a:r>
          <a:r>
            <a:rPr kumimoji="1" lang="en-US" altLang="ja-JP" sz="1100">
              <a:solidFill>
                <a:schemeClr val="tx1"/>
              </a:solidFill>
            </a:rPr>
            <a:t>(SBY)"</a:t>
          </a:r>
          <a:r>
            <a:rPr kumimoji="1" lang="ja-JP" altLang="en-US" sz="1100">
              <a:solidFill>
                <a:schemeClr val="tx1"/>
              </a:solidFill>
            </a:rPr>
            <a:t>を入力してください</a:t>
          </a:r>
        </a:p>
      </xdr:txBody>
    </xdr:sp>
    <xdr:clientData/>
  </xdr:twoCellAnchor>
  <xdr:twoCellAnchor>
    <xdr:from>
      <xdr:col>0</xdr:col>
      <xdr:colOff>215900</xdr:colOff>
      <xdr:row>9</xdr:row>
      <xdr:rowOff>137160</xdr:rowOff>
    </xdr:from>
    <xdr:to>
      <xdr:col>1</xdr:col>
      <xdr:colOff>2180590</xdr:colOff>
      <xdr:row>13</xdr:row>
      <xdr:rowOff>74930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6309D0DE-F27F-493A-A404-CA0D40CF26DB}"/>
            </a:ext>
          </a:extLst>
        </xdr:cNvPr>
        <xdr:cNvSpPr/>
      </xdr:nvSpPr>
      <xdr:spPr>
        <a:xfrm>
          <a:off x="215900" y="1645920"/>
          <a:ext cx="2277110" cy="608330"/>
        </a:xfrm>
        <a:prstGeom prst="wedgeRectCallout">
          <a:avLst>
            <a:gd name="adj1" fmla="val -51275"/>
            <a:gd name="adj2" fmla="val -127272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お申し込み回線数分作成ください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一度のお申し込み上限：</a:t>
          </a:r>
          <a:r>
            <a:rPr kumimoji="1" lang="en-US" altLang="ja-JP" sz="1100">
              <a:solidFill>
                <a:schemeClr val="tx1"/>
              </a:solidFill>
            </a:rPr>
            <a:t>254</a:t>
          </a:r>
          <a:r>
            <a:rPr kumimoji="1" lang="ja-JP" altLang="en-US" sz="1100">
              <a:solidFill>
                <a:schemeClr val="tx1"/>
              </a:solidFill>
            </a:rPr>
            <a:t>回線</a:t>
          </a:r>
          <a:endParaRPr kumimoji="1" lang="en-US" altLang="ja-JP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55"/>
  <sheetViews>
    <sheetView topLeftCell="C1" workbookViewId="0">
      <selection activeCell="I2" sqref="I2"/>
    </sheetView>
  </sheetViews>
  <sheetFormatPr defaultRowHeight="13" x14ac:dyDescent="0.2"/>
  <cols>
    <col min="1" max="1" width="4.453125" bestFit="1" customWidth="1"/>
    <col min="2" max="2" width="42.453125" bestFit="1" customWidth="1"/>
    <col min="3" max="3" width="16.7265625" bestFit="1" customWidth="1"/>
    <col min="4" max="4" width="19.26953125" customWidth="1"/>
    <col min="5" max="5" width="19" bestFit="1" customWidth="1"/>
    <col min="6" max="6" width="53" bestFit="1" customWidth="1"/>
    <col min="7" max="7" width="10.7265625" bestFit="1" customWidth="1"/>
    <col min="8" max="8" width="15.1796875" bestFit="1" customWidth="1"/>
    <col min="9" max="9" width="10.7265625" bestFit="1" customWidth="1"/>
    <col min="10" max="10" width="18.7265625" customWidth="1"/>
    <col min="11" max="11" width="17.26953125" bestFit="1" customWidth="1"/>
    <col min="12" max="13" width="15.1796875" bestFit="1" customWidth="1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">
      <c r="A2" s="6">
        <f>IF(B2="","",ROW()-1)</f>
        <v>1</v>
      </c>
      <c r="B2" s="3" t="s">
        <v>13</v>
      </c>
      <c r="C2" s="6"/>
      <c r="D2" s="3" t="s">
        <v>14</v>
      </c>
      <c r="E2" s="6"/>
      <c r="F2" s="3" t="s">
        <v>16</v>
      </c>
      <c r="G2" s="6"/>
      <c r="H2" s="3" t="s">
        <v>106</v>
      </c>
      <c r="I2" s="6" t="str">
        <f>IFERROR(IF(F2&lt;&gt;"通信機器購入なし",VLOOKUP(F2&amp;H2,メニュー!$H$30:$I$39,2,0),VLOOKUP(D2&amp;F2&amp;H2,メニュー!$H$25:$I$26,2,0)),"")</f>
        <v>T2000828</v>
      </c>
      <c r="J2" s="7"/>
      <c r="K2" s="7"/>
      <c r="L2" s="7"/>
      <c r="M2" s="7"/>
    </row>
    <row r="3" spans="1:13" x14ac:dyDescent="0.2">
      <c r="A3" s="6" t="str">
        <f>IF(B3="","",ROW()-1)</f>
        <v/>
      </c>
      <c r="B3" s="3"/>
      <c r="C3" s="6"/>
      <c r="D3" s="3"/>
      <c r="E3" s="6"/>
      <c r="F3" s="3"/>
      <c r="G3" s="6"/>
      <c r="H3" s="3"/>
      <c r="I3" s="6" t="str">
        <f>IFERROR(IF(F3&lt;&gt;"通信機器購入なし",VLOOKUP(F3&amp;H3,メニュー!$H$30:$I$39,2,0),VLOOKUP(D3&amp;F3&amp;H3,メニュー!$H$25:$I$26,2,0)),"")</f>
        <v/>
      </c>
      <c r="J3" s="7"/>
      <c r="K3" s="7"/>
      <c r="L3" s="7"/>
      <c r="M3" s="7"/>
    </row>
    <row r="4" spans="1:13" x14ac:dyDescent="0.2">
      <c r="A4" s="6" t="str">
        <f t="shared" ref="A4:A67" si="0">IF(B4="","",ROW()-1)</f>
        <v/>
      </c>
      <c r="B4" s="3"/>
      <c r="C4" s="6" t="str">
        <f>IFERROR(VLOOKUP(B4,メニュー!$B$3:$C$12,2,FALSE),"")</f>
        <v/>
      </c>
      <c r="D4" s="3"/>
      <c r="E4" s="6" t="str">
        <f>IFERROR(VLOOKUP(D4,メニュー!$D$3:$E$4,2,FALSE),"")</f>
        <v/>
      </c>
      <c r="F4" s="3"/>
      <c r="G4" s="6"/>
      <c r="H4" s="3"/>
      <c r="I4" s="6" t="str">
        <f>IFERROR(IF(F4&lt;&gt;"通信機器購入なし",VLOOKUP(F4&amp;H4,メニュー!$H$30:$I$39,2,0),VLOOKUP(D4&amp;F4&amp;H4,メニュー!$H$25:$I$26,2,0)),"")</f>
        <v/>
      </c>
      <c r="J4" s="7"/>
      <c r="K4" s="7"/>
      <c r="L4" s="7"/>
      <c r="M4" s="7"/>
    </row>
    <row r="5" spans="1:13" x14ac:dyDescent="0.2">
      <c r="A5" s="6" t="str">
        <f t="shared" si="0"/>
        <v/>
      </c>
      <c r="B5" s="3"/>
      <c r="C5" s="6" t="str">
        <f>IFERROR(VLOOKUP(B5,メニュー!$B$3:$C$12,2,FALSE),"")</f>
        <v/>
      </c>
      <c r="D5" s="3"/>
      <c r="E5" s="6" t="str">
        <f>IFERROR(VLOOKUP(D5,メニュー!$D$3:$E$4,2,FALSE),"")</f>
        <v/>
      </c>
      <c r="F5" s="3"/>
      <c r="G5" s="6"/>
      <c r="H5" s="3"/>
      <c r="I5" s="6" t="str">
        <f>IFERROR(IF(F5&lt;&gt;"通信機器購入なし",VLOOKUP(F5&amp;H5,メニュー!$H$30:$I$39,2,0),VLOOKUP(D5&amp;F5&amp;H5,メニュー!$H$25:$I$26,2,0)),"")</f>
        <v/>
      </c>
      <c r="J5" s="7"/>
      <c r="K5" s="7"/>
      <c r="L5" s="7"/>
      <c r="M5" s="7"/>
    </row>
    <row r="6" spans="1:13" x14ac:dyDescent="0.2">
      <c r="A6" s="6" t="str">
        <f t="shared" si="0"/>
        <v/>
      </c>
      <c r="B6" s="3"/>
      <c r="C6" s="6" t="str">
        <f>IFERROR(VLOOKUP(B6,メニュー!$B$3:$C$12,2,FALSE),"")</f>
        <v/>
      </c>
      <c r="D6" s="3"/>
      <c r="E6" s="6" t="str">
        <f>IFERROR(VLOOKUP(D6,メニュー!$D$3:$E$4,2,FALSE),"")</f>
        <v/>
      </c>
      <c r="F6" s="3"/>
      <c r="G6" s="6"/>
      <c r="H6" s="3"/>
      <c r="I6" s="6" t="str">
        <f>IFERROR(IF(F6&lt;&gt;"通信機器購入なし",VLOOKUP(F6&amp;H6,メニュー!$H$30:$I$39,2,0),VLOOKUP(D6&amp;F6&amp;H6,メニュー!$H$25:$I$26,2,0)),"")</f>
        <v/>
      </c>
      <c r="J6" s="7"/>
      <c r="K6" s="7"/>
      <c r="L6" s="7"/>
      <c r="M6" s="7"/>
    </row>
    <row r="7" spans="1:13" x14ac:dyDescent="0.2">
      <c r="A7" s="6" t="str">
        <f t="shared" si="0"/>
        <v/>
      </c>
      <c r="B7" s="3"/>
      <c r="C7" s="6" t="str">
        <f>IFERROR(VLOOKUP(B7,メニュー!$B$3:$C$12,2,FALSE),"")</f>
        <v/>
      </c>
      <c r="D7" s="3"/>
      <c r="E7" s="6" t="str">
        <f>IFERROR(VLOOKUP(D7,メニュー!$D$3:$E$4,2,FALSE),"")</f>
        <v/>
      </c>
      <c r="F7" s="3"/>
      <c r="G7" s="6"/>
      <c r="H7" s="3"/>
      <c r="I7" s="6" t="str">
        <f>IFERROR(IF(F7&lt;&gt;"通信機器購入なし",VLOOKUP(F7&amp;H7,メニュー!$H$30:$I$39,2,0),VLOOKUP(D7&amp;F7&amp;H7,メニュー!$H$25:$I$26,2,0)),"")</f>
        <v/>
      </c>
      <c r="J7" s="7"/>
      <c r="K7" s="7"/>
      <c r="L7" s="7"/>
      <c r="M7" s="7"/>
    </row>
    <row r="8" spans="1:13" x14ac:dyDescent="0.2">
      <c r="A8" s="6" t="str">
        <f t="shared" si="0"/>
        <v/>
      </c>
      <c r="B8" s="3"/>
      <c r="C8" s="6" t="str">
        <f>IFERROR(VLOOKUP(B8,メニュー!$B$3:$C$12,2,FALSE),"")</f>
        <v/>
      </c>
      <c r="D8" s="3"/>
      <c r="E8" s="6" t="str">
        <f>IFERROR(VLOOKUP(D8,メニュー!$D$3:$E$4,2,FALSE),"")</f>
        <v/>
      </c>
      <c r="F8" s="3"/>
      <c r="G8" s="6"/>
      <c r="H8" s="3"/>
      <c r="I8" s="6" t="str">
        <f>IFERROR(IF(F8&lt;&gt;"通信機器購入なし",VLOOKUP(F8&amp;H8,メニュー!$H$30:$I$39,2,0),VLOOKUP(D8&amp;F8&amp;H8,メニュー!$H$25:$I$26,2,0)),"")</f>
        <v/>
      </c>
      <c r="J8" s="7"/>
      <c r="K8" s="7"/>
      <c r="L8" s="7"/>
      <c r="M8" s="7"/>
    </row>
    <row r="9" spans="1:13" x14ac:dyDescent="0.2">
      <c r="A9" s="6" t="str">
        <f t="shared" si="0"/>
        <v/>
      </c>
      <c r="B9" s="3"/>
      <c r="C9" s="6" t="str">
        <f>IFERROR(VLOOKUP(B9,メニュー!$B$3:$C$12,2,FALSE),"")</f>
        <v/>
      </c>
      <c r="D9" s="3"/>
      <c r="E9" s="6" t="str">
        <f>IFERROR(VLOOKUP(D9,メニュー!$D$3:$E$4,2,FALSE),"")</f>
        <v/>
      </c>
      <c r="F9" s="3"/>
      <c r="G9" s="6"/>
      <c r="H9" s="3"/>
      <c r="I9" s="6" t="str">
        <f>IFERROR(IF(F9&lt;&gt;"通信機器購入なし",VLOOKUP(F9&amp;H9,メニュー!$H$30:$I$39,2,0),VLOOKUP(D9&amp;F9&amp;H9,メニュー!$H$25:$I$26,2,0)),"")</f>
        <v/>
      </c>
      <c r="J9" s="7"/>
      <c r="K9" s="7"/>
      <c r="L9" s="7"/>
      <c r="M9" s="7"/>
    </row>
    <row r="10" spans="1:13" x14ac:dyDescent="0.2">
      <c r="A10" s="6" t="str">
        <f t="shared" si="0"/>
        <v/>
      </c>
      <c r="B10" s="3"/>
      <c r="C10" s="6" t="str">
        <f>IFERROR(VLOOKUP(B10,メニュー!$B$3:$C$12,2,FALSE),"")</f>
        <v/>
      </c>
      <c r="D10" s="3"/>
      <c r="E10" s="6" t="str">
        <f>IFERROR(VLOOKUP(D10,メニュー!$D$3:$E$4,2,FALSE),"")</f>
        <v/>
      </c>
      <c r="F10" s="3"/>
      <c r="G10" s="6"/>
      <c r="H10" s="3"/>
      <c r="I10" s="6" t="str">
        <f>IFERROR(IF(F10&lt;&gt;"通信機器購入なし",VLOOKUP(F10&amp;H10,メニュー!$H$30:$I$39,2,0),VLOOKUP(D10&amp;F10&amp;H10,メニュー!$H$25:$I$26,2,0)),"")</f>
        <v/>
      </c>
      <c r="J10" s="7"/>
      <c r="K10" s="7"/>
      <c r="L10" s="7"/>
      <c r="M10" s="7"/>
    </row>
    <row r="11" spans="1:13" x14ac:dyDescent="0.2">
      <c r="A11" s="6" t="str">
        <f t="shared" si="0"/>
        <v/>
      </c>
      <c r="B11" s="3"/>
      <c r="C11" s="6" t="str">
        <f>IFERROR(VLOOKUP(B11,メニュー!$B$3:$C$12,2,FALSE),"")</f>
        <v/>
      </c>
      <c r="D11" s="3"/>
      <c r="E11" s="6" t="str">
        <f>IFERROR(VLOOKUP(D11,メニュー!$D$3:$E$4,2,FALSE),"")</f>
        <v/>
      </c>
      <c r="F11" s="3"/>
      <c r="G11" s="6"/>
      <c r="H11" s="3"/>
      <c r="I11" s="6" t="str">
        <f>IFERROR(IF(F11&lt;&gt;"通信機器購入なし",VLOOKUP(F11&amp;H11,メニュー!$H$30:$I$39,2,0),VLOOKUP(D11&amp;F11&amp;H11,メニュー!$H$25:$I$26,2,0)),"")</f>
        <v/>
      </c>
      <c r="J11" s="7"/>
      <c r="K11" s="7"/>
      <c r="L11" s="7"/>
      <c r="M11" s="7"/>
    </row>
    <row r="12" spans="1:13" x14ac:dyDescent="0.2">
      <c r="A12" s="6" t="str">
        <f t="shared" si="0"/>
        <v/>
      </c>
      <c r="B12" s="3"/>
      <c r="C12" s="6" t="str">
        <f>IFERROR(VLOOKUP(B12,メニュー!$B$3:$C$12,2,FALSE),"")</f>
        <v/>
      </c>
      <c r="D12" s="3"/>
      <c r="E12" s="6" t="str">
        <f>IFERROR(VLOOKUP(D12,メニュー!$D$3:$E$4,2,FALSE),"")</f>
        <v/>
      </c>
      <c r="F12" s="3"/>
      <c r="G12" s="6"/>
      <c r="H12" s="3"/>
      <c r="I12" s="6" t="str">
        <f>IFERROR(IF(F12&lt;&gt;"通信機器購入なし",VLOOKUP(F12&amp;H12,メニュー!$H$30:$I$39,2,0),VLOOKUP(D12&amp;F12&amp;H12,メニュー!$H$25:$I$26,2,0)),"")</f>
        <v/>
      </c>
      <c r="J12" s="7"/>
      <c r="K12" s="7"/>
      <c r="L12" s="7"/>
      <c r="M12" s="7"/>
    </row>
    <row r="13" spans="1:13" x14ac:dyDescent="0.2">
      <c r="A13" s="6" t="str">
        <f t="shared" si="0"/>
        <v/>
      </c>
      <c r="B13" s="3"/>
      <c r="C13" s="6" t="str">
        <f>IFERROR(VLOOKUP(B13,メニュー!$B$3:$C$12,2,FALSE),"")</f>
        <v/>
      </c>
      <c r="D13" s="3"/>
      <c r="E13" s="6" t="str">
        <f>IFERROR(VLOOKUP(D13,メニュー!$D$3:$E$4,2,FALSE),"")</f>
        <v/>
      </c>
      <c r="F13" s="3"/>
      <c r="G13" s="6"/>
      <c r="H13" s="3"/>
      <c r="I13" s="6" t="str">
        <f>IFERROR(IF(F13&lt;&gt;"通信機器購入なし",VLOOKUP(F13&amp;H13,メニュー!$H$30:$I$39,2,0),VLOOKUP(D13&amp;F13&amp;H13,メニュー!$H$25:$I$26,2,0)),"")</f>
        <v/>
      </c>
      <c r="J13" s="7"/>
      <c r="K13" s="7"/>
      <c r="L13" s="7"/>
      <c r="M13" s="7"/>
    </row>
    <row r="14" spans="1:13" x14ac:dyDescent="0.2">
      <c r="A14" s="6" t="str">
        <f t="shared" si="0"/>
        <v/>
      </c>
      <c r="B14" s="3"/>
      <c r="C14" s="6" t="str">
        <f>IFERROR(VLOOKUP(B14,メニュー!$B$3:$C$12,2,FALSE),"")</f>
        <v/>
      </c>
      <c r="D14" s="3"/>
      <c r="E14" s="6" t="str">
        <f>IFERROR(VLOOKUP(D14,メニュー!$D$3:$E$4,2,FALSE),"")</f>
        <v/>
      </c>
      <c r="F14" s="3"/>
      <c r="G14" s="6"/>
      <c r="H14" s="3"/>
      <c r="I14" s="6" t="str">
        <f>IFERROR(IF(F14&lt;&gt;"通信機器購入なし",VLOOKUP(F14&amp;H14,メニュー!$H$30:$I$39,2,0),VLOOKUP(D14&amp;F14&amp;H14,メニュー!$H$25:$I$26,2,0)),"")</f>
        <v/>
      </c>
      <c r="J14" s="7"/>
      <c r="K14" s="7"/>
      <c r="L14" s="7"/>
      <c r="M14" s="7"/>
    </row>
    <row r="15" spans="1:13" x14ac:dyDescent="0.2">
      <c r="A15" s="6" t="str">
        <f t="shared" si="0"/>
        <v/>
      </c>
      <c r="B15" s="3"/>
      <c r="C15" s="6" t="str">
        <f>IFERROR(VLOOKUP(B15,メニュー!$B$3:$C$12,2,FALSE),"")</f>
        <v/>
      </c>
      <c r="D15" s="3"/>
      <c r="E15" s="6" t="str">
        <f>IFERROR(VLOOKUP(D15,メニュー!$D$3:$E$4,2,FALSE),"")</f>
        <v/>
      </c>
      <c r="F15" s="3"/>
      <c r="G15" s="6"/>
      <c r="H15" s="3"/>
      <c r="I15" s="6" t="str">
        <f>IFERROR(IF(F15&lt;&gt;"通信機器購入なし",VLOOKUP(F15&amp;H15,メニュー!$H$30:$I$39,2,0),VLOOKUP(D15&amp;F15&amp;H15,メニュー!$H$25:$I$26,2,0)),"")</f>
        <v/>
      </c>
      <c r="J15" s="7"/>
      <c r="K15" s="7"/>
      <c r="L15" s="7"/>
      <c r="M15" s="7"/>
    </row>
    <row r="16" spans="1:13" x14ac:dyDescent="0.2">
      <c r="A16" s="6" t="str">
        <f t="shared" si="0"/>
        <v/>
      </c>
      <c r="B16" s="3"/>
      <c r="C16" s="6" t="str">
        <f>IFERROR(VLOOKUP(B16,メニュー!$B$3:$C$12,2,FALSE),"")</f>
        <v/>
      </c>
      <c r="D16" s="3"/>
      <c r="E16" s="6" t="str">
        <f>IFERROR(VLOOKUP(D16,メニュー!$D$3:$E$4,2,FALSE),"")</f>
        <v/>
      </c>
      <c r="F16" s="3"/>
      <c r="G16" s="6"/>
      <c r="H16" s="3"/>
      <c r="I16" s="6" t="str">
        <f>IFERROR(IF(F16&lt;&gt;"通信機器購入なし",VLOOKUP(F16&amp;H16,メニュー!$H$30:$I$39,2,0),VLOOKUP(D16&amp;F16&amp;H16,メニュー!$H$25:$I$26,2,0)),"")</f>
        <v/>
      </c>
      <c r="J16" s="7"/>
      <c r="K16" s="7"/>
      <c r="L16" s="7"/>
      <c r="M16" s="7"/>
    </row>
    <row r="17" spans="1:13" x14ac:dyDescent="0.2">
      <c r="A17" s="6" t="str">
        <f t="shared" si="0"/>
        <v/>
      </c>
      <c r="B17" s="3"/>
      <c r="C17" s="6" t="str">
        <f>IFERROR(VLOOKUP(B17,メニュー!$B$3:$C$12,2,FALSE),"")</f>
        <v/>
      </c>
      <c r="D17" s="3"/>
      <c r="E17" s="6" t="str">
        <f>IFERROR(VLOOKUP(D17,メニュー!$D$3:$E$4,2,FALSE),"")</f>
        <v/>
      </c>
      <c r="F17" s="3"/>
      <c r="G17" s="6"/>
      <c r="H17" s="3"/>
      <c r="I17" s="6" t="str">
        <f>IFERROR(IF(F17&lt;&gt;"通信機器購入なし",VLOOKUP(F17&amp;H17,メニュー!$H$30:$I$39,2,0),VLOOKUP(D17&amp;F17&amp;H17,メニュー!$H$25:$I$26,2,0)),"")</f>
        <v/>
      </c>
      <c r="J17" s="7"/>
      <c r="K17" s="7"/>
      <c r="L17" s="7"/>
      <c r="M17" s="7"/>
    </row>
    <row r="18" spans="1:13" x14ac:dyDescent="0.2">
      <c r="A18" s="6" t="str">
        <f t="shared" si="0"/>
        <v/>
      </c>
      <c r="B18" s="3"/>
      <c r="C18" s="6" t="str">
        <f>IFERROR(VLOOKUP(B18,メニュー!$B$3:$C$12,2,FALSE),"")</f>
        <v/>
      </c>
      <c r="D18" s="3"/>
      <c r="E18" s="6" t="str">
        <f>IFERROR(VLOOKUP(D18,メニュー!$D$3:$E$4,2,FALSE),"")</f>
        <v/>
      </c>
      <c r="F18" s="3"/>
      <c r="G18" s="6"/>
      <c r="H18" s="3"/>
      <c r="I18" s="6" t="str">
        <f>IFERROR(IF(F18&lt;&gt;"通信機器購入なし",VLOOKUP(F18&amp;H18,メニュー!$H$30:$I$39,2,0),VLOOKUP(D18&amp;F18&amp;H18,メニュー!$H$25:$I$26,2,0)),"")</f>
        <v/>
      </c>
      <c r="J18" s="7"/>
      <c r="K18" s="7"/>
      <c r="L18" s="7"/>
      <c r="M18" s="7"/>
    </row>
    <row r="19" spans="1:13" x14ac:dyDescent="0.2">
      <c r="A19" s="6" t="str">
        <f t="shared" si="0"/>
        <v/>
      </c>
      <c r="B19" s="3"/>
      <c r="C19" s="6" t="str">
        <f>IFERROR(VLOOKUP(B19,メニュー!$B$3:$C$12,2,FALSE),"")</f>
        <v/>
      </c>
      <c r="D19" s="3"/>
      <c r="E19" s="6" t="str">
        <f>IFERROR(VLOOKUP(D19,メニュー!$D$3:$E$4,2,FALSE),"")</f>
        <v/>
      </c>
      <c r="F19" s="3"/>
      <c r="G19" s="6"/>
      <c r="H19" s="3"/>
      <c r="I19" s="6" t="str">
        <f>IFERROR(IF(F19&lt;&gt;"通信機器購入なし",VLOOKUP(F19&amp;H19,メニュー!$H$30:$I$39,2,0),VLOOKUP(D19&amp;F19&amp;H19,メニュー!$H$25:$I$26,2,0)),"")</f>
        <v/>
      </c>
      <c r="J19" s="7"/>
      <c r="K19" s="7"/>
      <c r="L19" s="7"/>
      <c r="M19" s="7"/>
    </row>
    <row r="20" spans="1:13" x14ac:dyDescent="0.2">
      <c r="A20" s="6" t="str">
        <f t="shared" si="0"/>
        <v/>
      </c>
      <c r="B20" s="3"/>
      <c r="C20" s="6" t="str">
        <f>IFERROR(VLOOKUP(B20,メニュー!$B$3:$C$12,2,FALSE),"")</f>
        <v/>
      </c>
      <c r="D20" s="3"/>
      <c r="E20" s="6" t="str">
        <f>IFERROR(VLOOKUP(D20,メニュー!$D$3:$E$4,2,FALSE),"")</f>
        <v/>
      </c>
      <c r="F20" s="3"/>
      <c r="G20" s="6"/>
      <c r="H20" s="3"/>
      <c r="I20" s="6" t="str">
        <f>IFERROR(IF(F20&lt;&gt;"通信機器購入なし",VLOOKUP(F20&amp;H20,メニュー!$H$30:$I$39,2,0),VLOOKUP(D20&amp;F20&amp;H20,メニュー!$H$25:$I$26,2,0)),"")</f>
        <v/>
      </c>
      <c r="J20" s="7"/>
      <c r="K20" s="7"/>
      <c r="L20" s="7"/>
      <c r="M20" s="7"/>
    </row>
    <row r="21" spans="1:13" x14ac:dyDescent="0.2">
      <c r="A21" s="6" t="str">
        <f t="shared" si="0"/>
        <v/>
      </c>
      <c r="B21" s="3"/>
      <c r="C21" s="6" t="str">
        <f>IFERROR(VLOOKUP(B21,メニュー!$B$3:$C$12,2,FALSE),"")</f>
        <v/>
      </c>
      <c r="D21" s="3"/>
      <c r="E21" s="6" t="str">
        <f>IFERROR(VLOOKUP(D21,メニュー!$D$3:$E$4,2,FALSE),"")</f>
        <v/>
      </c>
      <c r="F21" s="3"/>
      <c r="G21" s="6"/>
      <c r="H21" s="3"/>
      <c r="I21" s="6" t="str">
        <f>IFERROR(IF(F21&lt;&gt;"通信機器購入なし",VLOOKUP(F21&amp;H21,メニュー!$H$30:$I$39,2,0),VLOOKUP(D21&amp;F21&amp;H21,メニュー!$H$25:$I$26,2,0)),"")</f>
        <v/>
      </c>
      <c r="J21" s="7"/>
      <c r="K21" s="7"/>
      <c r="L21" s="7"/>
      <c r="M21" s="7"/>
    </row>
    <row r="22" spans="1:13" x14ac:dyDescent="0.2">
      <c r="A22" s="6" t="str">
        <f t="shared" si="0"/>
        <v/>
      </c>
      <c r="B22" s="3"/>
      <c r="C22" s="6" t="str">
        <f>IFERROR(VLOOKUP(B22,メニュー!$B$3:$C$12,2,FALSE),"")</f>
        <v/>
      </c>
      <c r="D22" s="3"/>
      <c r="E22" s="6" t="str">
        <f>IFERROR(VLOOKUP(D22,メニュー!$D$3:$E$4,2,FALSE),"")</f>
        <v/>
      </c>
      <c r="F22" s="3"/>
      <c r="G22" s="6"/>
      <c r="H22" s="3"/>
      <c r="I22" s="6" t="str">
        <f>IFERROR(IF(F22&lt;&gt;"通信機器購入なし",VLOOKUP(F22&amp;H22,メニュー!$H$30:$I$39,2,0),VLOOKUP(D22&amp;F22&amp;H22,メニュー!$H$25:$I$26,2,0)),"")</f>
        <v/>
      </c>
      <c r="J22" s="7"/>
      <c r="K22" s="7"/>
      <c r="L22" s="7"/>
      <c r="M22" s="7"/>
    </row>
    <row r="23" spans="1:13" x14ac:dyDescent="0.2">
      <c r="A23" s="6" t="str">
        <f t="shared" si="0"/>
        <v/>
      </c>
      <c r="B23" s="3"/>
      <c r="C23" s="6" t="str">
        <f>IFERROR(VLOOKUP(B23,メニュー!$B$3:$C$12,2,FALSE),"")</f>
        <v/>
      </c>
      <c r="D23" s="3"/>
      <c r="E23" s="6" t="str">
        <f>IFERROR(VLOOKUP(D23,メニュー!$D$3:$E$4,2,FALSE),"")</f>
        <v/>
      </c>
      <c r="F23" s="3"/>
      <c r="G23" s="6"/>
      <c r="H23" s="3"/>
      <c r="I23" s="6" t="str">
        <f>IFERROR(IF(F23&lt;&gt;"通信機器購入なし",VLOOKUP(F23&amp;H23,メニュー!$H$30:$I$39,2,0),VLOOKUP(D23&amp;F23&amp;H23,メニュー!$H$25:$I$26,2,0)),"")</f>
        <v/>
      </c>
      <c r="J23" s="7"/>
      <c r="K23" s="7"/>
      <c r="L23" s="7"/>
      <c r="M23" s="7"/>
    </row>
    <row r="24" spans="1:13" x14ac:dyDescent="0.2">
      <c r="A24" s="6" t="str">
        <f t="shared" si="0"/>
        <v/>
      </c>
      <c r="B24" s="3"/>
      <c r="C24" s="6" t="str">
        <f>IFERROR(VLOOKUP(B24,メニュー!$B$3:$C$12,2,FALSE),"")</f>
        <v/>
      </c>
      <c r="D24" s="3"/>
      <c r="E24" s="6" t="str">
        <f>IFERROR(VLOOKUP(D24,メニュー!$D$3:$E$4,2,FALSE),"")</f>
        <v/>
      </c>
      <c r="F24" s="3"/>
      <c r="G24" s="6"/>
      <c r="H24" s="3"/>
      <c r="I24" s="6" t="str">
        <f>IFERROR(IF(F24&lt;&gt;"通信機器購入なし",VLOOKUP(F24&amp;H24,メニュー!$H$30:$I$39,2,0),VLOOKUP(D24&amp;F24&amp;H24,メニュー!$H$25:$I$26,2,0)),"")</f>
        <v/>
      </c>
      <c r="J24" s="7"/>
      <c r="K24" s="7"/>
      <c r="L24" s="7"/>
      <c r="M24" s="7"/>
    </row>
    <row r="25" spans="1:13" x14ac:dyDescent="0.2">
      <c r="A25" s="6" t="str">
        <f t="shared" si="0"/>
        <v/>
      </c>
      <c r="B25" s="3"/>
      <c r="C25" s="6" t="str">
        <f>IFERROR(VLOOKUP(B25,メニュー!$B$3:$C$12,2,FALSE),"")</f>
        <v/>
      </c>
      <c r="D25" s="3"/>
      <c r="E25" s="6" t="str">
        <f>IFERROR(VLOOKUP(D25,メニュー!$D$3:$E$4,2,FALSE),"")</f>
        <v/>
      </c>
      <c r="F25" s="3"/>
      <c r="G25" s="6"/>
      <c r="H25" s="3"/>
      <c r="I25" s="6" t="str">
        <f>IFERROR(IF(F25&lt;&gt;"通信機器購入なし",VLOOKUP(F25&amp;H25,メニュー!$H$30:$I$39,2,0),VLOOKUP(D25&amp;F25&amp;H25,メニュー!$H$25:$I$26,2,0)),"")</f>
        <v/>
      </c>
      <c r="J25" s="7"/>
      <c r="K25" s="7"/>
      <c r="L25" s="7"/>
      <c r="M25" s="7"/>
    </row>
    <row r="26" spans="1:13" x14ac:dyDescent="0.2">
      <c r="A26" s="6" t="str">
        <f t="shared" si="0"/>
        <v/>
      </c>
      <c r="B26" s="3"/>
      <c r="C26" s="6" t="str">
        <f>IFERROR(VLOOKUP(B26,メニュー!$B$3:$C$12,2,FALSE),"")</f>
        <v/>
      </c>
      <c r="D26" s="3"/>
      <c r="E26" s="6" t="str">
        <f>IFERROR(VLOOKUP(D26,メニュー!$D$3:$E$4,2,FALSE),"")</f>
        <v/>
      </c>
      <c r="F26" s="3"/>
      <c r="G26" s="6"/>
      <c r="H26" s="3"/>
      <c r="I26" s="6" t="str">
        <f>IFERROR(IF(F26&lt;&gt;"通信機器購入なし",VLOOKUP(F26&amp;H26,メニュー!$H$30:$I$39,2,0),VLOOKUP(D26&amp;F26&amp;H26,メニュー!$H$25:$I$26,2,0)),"")</f>
        <v/>
      </c>
      <c r="J26" s="7"/>
      <c r="K26" s="7"/>
      <c r="L26" s="7"/>
      <c r="M26" s="7"/>
    </row>
    <row r="27" spans="1:13" x14ac:dyDescent="0.2">
      <c r="A27" s="6" t="str">
        <f t="shared" si="0"/>
        <v/>
      </c>
      <c r="B27" s="3"/>
      <c r="C27" s="6" t="str">
        <f>IFERROR(VLOOKUP(B27,メニュー!$B$3:$C$12,2,FALSE),"")</f>
        <v/>
      </c>
      <c r="D27" s="3"/>
      <c r="E27" s="6" t="str">
        <f>IFERROR(VLOOKUP(D27,メニュー!$D$3:$E$4,2,FALSE),"")</f>
        <v/>
      </c>
      <c r="F27" s="3"/>
      <c r="G27" s="6"/>
      <c r="H27" s="3"/>
      <c r="I27" s="6" t="str">
        <f>IFERROR(IF(F27&lt;&gt;"通信機器購入なし",VLOOKUP(F27&amp;H27,メニュー!$H$30:$I$39,2,0),VLOOKUP(D27&amp;F27&amp;H27,メニュー!$H$25:$I$26,2,0)),"")</f>
        <v/>
      </c>
      <c r="J27" s="7"/>
      <c r="K27" s="7"/>
      <c r="L27" s="7"/>
      <c r="M27" s="7"/>
    </row>
    <row r="28" spans="1:13" x14ac:dyDescent="0.2">
      <c r="A28" s="6" t="str">
        <f t="shared" si="0"/>
        <v/>
      </c>
      <c r="B28" s="3"/>
      <c r="C28" s="6" t="str">
        <f>IFERROR(VLOOKUP(B28,メニュー!$B$3:$C$12,2,FALSE),"")</f>
        <v/>
      </c>
      <c r="D28" s="3"/>
      <c r="E28" s="6" t="str">
        <f>IFERROR(VLOOKUP(D28,メニュー!$D$3:$E$4,2,FALSE),"")</f>
        <v/>
      </c>
      <c r="F28" s="3"/>
      <c r="G28" s="6"/>
      <c r="H28" s="3"/>
      <c r="I28" s="6" t="str">
        <f>IFERROR(IF(F28&lt;&gt;"通信機器購入なし",VLOOKUP(F28&amp;H28,メニュー!$H$30:$I$39,2,0),VLOOKUP(D28&amp;F28&amp;H28,メニュー!$H$25:$I$26,2,0)),"")</f>
        <v/>
      </c>
      <c r="J28" s="7"/>
      <c r="K28" s="7"/>
      <c r="L28" s="7"/>
      <c r="M28" s="7"/>
    </row>
    <row r="29" spans="1:13" x14ac:dyDescent="0.2">
      <c r="A29" s="6" t="str">
        <f t="shared" si="0"/>
        <v/>
      </c>
      <c r="B29" s="3"/>
      <c r="C29" s="6" t="str">
        <f>IFERROR(VLOOKUP(B29,メニュー!$B$3:$C$12,2,FALSE),"")</f>
        <v/>
      </c>
      <c r="D29" s="3"/>
      <c r="E29" s="6" t="str">
        <f>IFERROR(VLOOKUP(D29,メニュー!$D$3:$E$4,2,FALSE),"")</f>
        <v/>
      </c>
      <c r="F29" s="3"/>
      <c r="G29" s="6"/>
      <c r="H29" s="3"/>
      <c r="I29" s="6" t="str">
        <f>IFERROR(IF(F29&lt;&gt;"通信機器購入なし",VLOOKUP(F29&amp;H29,メニュー!$H$30:$I$39,2,0),VLOOKUP(D29&amp;F29&amp;H29,メニュー!$H$25:$I$26,2,0)),"")</f>
        <v/>
      </c>
      <c r="J29" s="7"/>
      <c r="K29" s="7"/>
      <c r="L29" s="7"/>
      <c r="M29" s="7"/>
    </row>
    <row r="30" spans="1:13" x14ac:dyDescent="0.2">
      <c r="A30" s="6" t="str">
        <f t="shared" si="0"/>
        <v/>
      </c>
      <c r="B30" s="3"/>
      <c r="C30" s="6" t="str">
        <f>IFERROR(VLOOKUP(B30,メニュー!$B$3:$C$12,2,FALSE),"")</f>
        <v/>
      </c>
      <c r="D30" s="3"/>
      <c r="E30" s="6" t="str">
        <f>IFERROR(VLOOKUP(D30,メニュー!$D$3:$E$4,2,FALSE),"")</f>
        <v/>
      </c>
      <c r="F30" s="3"/>
      <c r="G30" s="6"/>
      <c r="H30" s="3"/>
      <c r="I30" s="6" t="str">
        <f>IFERROR(IF(F30&lt;&gt;"通信機器購入なし",VLOOKUP(F30&amp;H30,メニュー!$H$30:$I$39,2,0),VLOOKUP(D30&amp;F30&amp;H30,メニュー!$H$25:$I$26,2,0)),"")</f>
        <v/>
      </c>
      <c r="J30" s="7"/>
      <c r="K30" s="7"/>
      <c r="L30" s="7"/>
      <c r="M30" s="7"/>
    </row>
    <row r="31" spans="1:13" x14ac:dyDescent="0.2">
      <c r="A31" s="6" t="str">
        <f t="shared" si="0"/>
        <v/>
      </c>
      <c r="B31" s="3"/>
      <c r="C31" s="6" t="str">
        <f>IFERROR(VLOOKUP(B31,メニュー!$B$3:$C$12,2,FALSE),"")</f>
        <v/>
      </c>
      <c r="D31" s="3"/>
      <c r="E31" s="6" t="str">
        <f>IFERROR(VLOOKUP(D31,メニュー!$D$3:$E$4,2,FALSE),"")</f>
        <v/>
      </c>
      <c r="F31" s="3"/>
      <c r="G31" s="6"/>
      <c r="H31" s="3"/>
      <c r="I31" s="6" t="str">
        <f>IFERROR(IF(F31&lt;&gt;"通信機器購入なし",VLOOKUP(F31&amp;H31,メニュー!$H$30:$I$39,2,0),VLOOKUP(D31&amp;F31&amp;H31,メニュー!$H$25:$I$26,2,0)),"")</f>
        <v/>
      </c>
      <c r="J31" s="7"/>
      <c r="K31" s="7"/>
      <c r="L31" s="7"/>
      <c r="M31" s="7"/>
    </row>
    <row r="32" spans="1:13" x14ac:dyDescent="0.2">
      <c r="A32" s="6" t="str">
        <f t="shared" si="0"/>
        <v/>
      </c>
      <c r="B32" s="3"/>
      <c r="C32" s="6" t="str">
        <f>IFERROR(VLOOKUP(B32,メニュー!$B$3:$C$12,2,FALSE),"")</f>
        <v/>
      </c>
      <c r="D32" s="3"/>
      <c r="E32" s="6" t="str">
        <f>IFERROR(VLOOKUP(D32,メニュー!$D$3:$E$4,2,FALSE),"")</f>
        <v/>
      </c>
      <c r="F32" s="3"/>
      <c r="G32" s="6"/>
      <c r="H32" s="3"/>
      <c r="I32" s="6" t="str">
        <f>IFERROR(IF(F32&lt;&gt;"通信機器購入なし",VLOOKUP(F32&amp;H32,メニュー!$H$30:$I$39,2,0),VLOOKUP(D32&amp;F32&amp;H32,メニュー!$H$25:$I$26,2,0)),"")</f>
        <v/>
      </c>
      <c r="J32" s="7"/>
      <c r="K32" s="7"/>
      <c r="L32" s="7"/>
      <c r="M32" s="7"/>
    </row>
    <row r="33" spans="1:13" x14ac:dyDescent="0.2">
      <c r="A33" s="6" t="str">
        <f t="shared" si="0"/>
        <v/>
      </c>
      <c r="B33" s="3"/>
      <c r="C33" s="6" t="str">
        <f>IFERROR(VLOOKUP(B33,メニュー!$B$3:$C$12,2,FALSE),"")</f>
        <v/>
      </c>
      <c r="D33" s="3"/>
      <c r="E33" s="6" t="str">
        <f>IFERROR(VLOOKUP(D33,メニュー!$D$3:$E$4,2,FALSE),"")</f>
        <v/>
      </c>
      <c r="F33" s="3"/>
      <c r="G33" s="6"/>
      <c r="H33" s="3"/>
      <c r="I33" s="6" t="str">
        <f>IFERROR(IF(F33&lt;&gt;"通信機器購入なし",VLOOKUP(F33&amp;H33,メニュー!$H$30:$I$39,2,0),VLOOKUP(D33&amp;F33&amp;H33,メニュー!$H$25:$I$26,2,0)),"")</f>
        <v/>
      </c>
      <c r="J33" s="7"/>
      <c r="K33" s="7"/>
      <c r="L33" s="7"/>
      <c r="M33" s="7"/>
    </row>
    <row r="34" spans="1:13" x14ac:dyDescent="0.2">
      <c r="A34" s="6" t="str">
        <f t="shared" si="0"/>
        <v/>
      </c>
      <c r="B34" s="3"/>
      <c r="C34" s="6" t="str">
        <f>IFERROR(VLOOKUP(B34,メニュー!$B$3:$C$12,2,FALSE),"")</f>
        <v/>
      </c>
      <c r="D34" s="3"/>
      <c r="E34" s="6" t="str">
        <f>IFERROR(VLOOKUP(D34,メニュー!$D$3:$E$4,2,FALSE),"")</f>
        <v/>
      </c>
      <c r="F34" s="3"/>
      <c r="G34" s="6"/>
      <c r="H34" s="3"/>
      <c r="I34" s="6" t="str">
        <f>IFERROR(IF(F34&lt;&gt;"通信機器購入なし",VLOOKUP(F34&amp;H34,メニュー!$H$30:$I$39,2,0),VLOOKUP(D34&amp;F34&amp;H34,メニュー!$H$25:$I$26,2,0)),"")</f>
        <v/>
      </c>
      <c r="J34" s="7"/>
      <c r="K34" s="7"/>
      <c r="L34" s="7"/>
      <c r="M34" s="7"/>
    </row>
    <row r="35" spans="1:13" x14ac:dyDescent="0.2">
      <c r="A35" s="6" t="str">
        <f t="shared" si="0"/>
        <v/>
      </c>
      <c r="B35" s="3"/>
      <c r="C35" s="6" t="str">
        <f>IFERROR(VLOOKUP(B35,メニュー!$B$3:$C$12,2,FALSE),"")</f>
        <v/>
      </c>
      <c r="D35" s="3"/>
      <c r="E35" s="6" t="str">
        <f>IFERROR(VLOOKUP(D35,メニュー!$D$3:$E$4,2,FALSE),"")</f>
        <v/>
      </c>
      <c r="F35" s="3"/>
      <c r="G35" s="6"/>
      <c r="H35" s="3"/>
      <c r="I35" s="6" t="str">
        <f>IFERROR(IF(F35&lt;&gt;"通信機器購入なし",VLOOKUP(F35&amp;H35,メニュー!$H$30:$I$39,2,0),VLOOKUP(D35&amp;F35&amp;H35,メニュー!$H$25:$I$26,2,0)),"")</f>
        <v/>
      </c>
      <c r="J35" s="7"/>
      <c r="K35" s="7"/>
      <c r="L35" s="7"/>
      <c r="M35" s="7"/>
    </row>
    <row r="36" spans="1:13" x14ac:dyDescent="0.2">
      <c r="A36" s="6" t="str">
        <f t="shared" si="0"/>
        <v/>
      </c>
      <c r="B36" s="3"/>
      <c r="C36" s="6" t="str">
        <f>IFERROR(VLOOKUP(B36,メニュー!$B$3:$C$12,2,FALSE),"")</f>
        <v/>
      </c>
      <c r="D36" s="3"/>
      <c r="E36" s="6" t="str">
        <f>IFERROR(VLOOKUP(D36,メニュー!$D$3:$E$4,2,FALSE),"")</f>
        <v/>
      </c>
      <c r="F36" s="3"/>
      <c r="G36" s="6"/>
      <c r="H36" s="3"/>
      <c r="I36" s="6" t="str">
        <f>IFERROR(IF(F36&lt;&gt;"通信機器購入なし",VLOOKUP(F36&amp;H36,メニュー!$H$30:$I$39,2,0),VLOOKUP(D36&amp;F36&amp;H36,メニュー!$H$25:$I$26,2,0)),"")</f>
        <v/>
      </c>
      <c r="J36" s="7"/>
      <c r="K36" s="7"/>
      <c r="L36" s="7"/>
      <c r="M36" s="7"/>
    </row>
    <row r="37" spans="1:13" x14ac:dyDescent="0.2">
      <c r="A37" s="6" t="str">
        <f t="shared" si="0"/>
        <v/>
      </c>
      <c r="B37" s="3"/>
      <c r="C37" s="6" t="str">
        <f>IFERROR(VLOOKUP(B37,メニュー!$B$3:$C$12,2,FALSE),"")</f>
        <v/>
      </c>
      <c r="D37" s="3"/>
      <c r="E37" s="6" t="str">
        <f>IFERROR(VLOOKUP(D37,メニュー!$D$3:$E$4,2,FALSE),"")</f>
        <v/>
      </c>
      <c r="F37" s="3"/>
      <c r="G37" s="6"/>
      <c r="H37" s="3"/>
      <c r="I37" s="6" t="str">
        <f>IFERROR(IF(F37&lt;&gt;"通信機器購入なし",VLOOKUP(F37&amp;H37,メニュー!$H$30:$I$39,2,0),VLOOKUP(D37&amp;F37&amp;H37,メニュー!$H$25:$I$26,2,0)),"")</f>
        <v/>
      </c>
      <c r="J37" s="7"/>
      <c r="K37" s="7"/>
      <c r="L37" s="7"/>
      <c r="M37" s="7"/>
    </row>
    <row r="38" spans="1:13" x14ac:dyDescent="0.2">
      <c r="A38" s="6" t="str">
        <f t="shared" si="0"/>
        <v/>
      </c>
      <c r="B38" s="3"/>
      <c r="C38" s="6" t="str">
        <f>IFERROR(VLOOKUP(B38,メニュー!$B$3:$C$12,2,FALSE),"")</f>
        <v/>
      </c>
      <c r="D38" s="3"/>
      <c r="E38" s="6" t="str">
        <f>IFERROR(VLOOKUP(D38,メニュー!$D$3:$E$4,2,FALSE),"")</f>
        <v/>
      </c>
      <c r="F38" s="3"/>
      <c r="G38" s="6"/>
      <c r="H38" s="3"/>
      <c r="I38" s="6" t="str">
        <f>IFERROR(IF(F38&lt;&gt;"通信機器購入なし",VLOOKUP(F38&amp;H38,メニュー!$H$30:$I$39,2,0),VLOOKUP(D38&amp;F38&amp;H38,メニュー!$H$25:$I$26,2,0)),"")</f>
        <v/>
      </c>
      <c r="J38" s="7"/>
      <c r="K38" s="7"/>
      <c r="L38" s="7"/>
      <c r="M38" s="7"/>
    </row>
    <row r="39" spans="1:13" x14ac:dyDescent="0.2">
      <c r="A39" s="6" t="str">
        <f t="shared" si="0"/>
        <v/>
      </c>
      <c r="B39" s="3"/>
      <c r="C39" s="6" t="str">
        <f>IFERROR(VLOOKUP(B39,メニュー!$B$3:$C$12,2,FALSE),"")</f>
        <v/>
      </c>
      <c r="D39" s="3"/>
      <c r="E39" s="6" t="str">
        <f>IFERROR(VLOOKUP(D39,メニュー!$D$3:$E$4,2,FALSE),"")</f>
        <v/>
      </c>
      <c r="F39" s="3"/>
      <c r="G39" s="6"/>
      <c r="H39" s="3"/>
      <c r="I39" s="6" t="str">
        <f>IFERROR(IF(F39&lt;&gt;"通信機器購入なし",VLOOKUP(F39&amp;H39,メニュー!$H$30:$I$39,2,0),VLOOKUP(D39&amp;F39&amp;H39,メニュー!$H$25:$I$26,2,0)),"")</f>
        <v/>
      </c>
      <c r="J39" s="7"/>
      <c r="K39" s="7"/>
      <c r="L39" s="7"/>
      <c r="M39" s="7"/>
    </row>
    <row r="40" spans="1:13" x14ac:dyDescent="0.2">
      <c r="A40" s="6" t="str">
        <f t="shared" si="0"/>
        <v/>
      </c>
      <c r="B40" s="3"/>
      <c r="C40" s="6" t="str">
        <f>IFERROR(VLOOKUP(B40,メニュー!$B$3:$C$12,2,FALSE),"")</f>
        <v/>
      </c>
      <c r="D40" s="3"/>
      <c r="E40" s="6" t="str">
        <f>IFERROR(VLOOKUP(D40,メニュー!$D$3:$E$4,2,FALSE),"")</f>
        <v/>
      </c>
      <c r="F40" s="3"/>
      <c r="G40" s="6"/>
      <c r="H40" s="3"/>
      <c r="I40" s="6" t="str">
        <f>IFERROR(IF(F40&lt;&gt;"通信機器購入なし",VLOOKUP(F40&amp;H40,メニュー!$H$30:$I$39,2,0),VLOOKUP(D40&amp;F40&amp;H40,メニュー!$H$25:$I$26,2,0)),"")</f>
        <v/>
      </c>
      <c r="J40" s="7"/>
      <c r="K40" s="7"/>
      <c r="L40" s="7"/>
      <c r="M40" s="7"/>
    </row>
    <row r="41" spans="1:13" x14ac:dyDescent="0.2">
      <c r="A41" s="6" t="str">
        <f t="shared" si="0"/>
        <v/>
      </c>
      <c r="B41" s="3"/>
      <c r="C41" s="6" t="str">
        <f>IFERROR(VLOOKUP(B41,メニュー!$B$3:$C$12,2,FALSE),"")</f>
        <v/>
      </c>
      <c r="D41" s="3"/>
      <c r="E41" s="6" t="str">
        <f>IFERROR(VLOOKUP(D41,メニュー!$D$3:$E$4,2,FALSE),"")</f>
        <v/>
      </c>
      <c r="F41" s="3"/>
      <c r="G41" s="6"/>
      <c r="H41" s="3"/>
      <c r="I41" s="6" t="str">
        <f>IFERROR(IF(F41&lt;&gt;"通信機器購入なし",VLOOKUP(F41&amp;H41,メニュー!$H$30:$I$39,2,0),VLOOKUP(D41&amp;F41&amp;H41,メニュー!$H$25:$I$26,2,0)),"")</f>
        <v/>
      </c>
      <c r="J41" s="7"/>
      <c r="K41" s="7"/>
      <c r="L41" s="7"/>
      <c r="M41" s="7"/>
    </row>
    <row r="42" spans="1:13" x14ac:dyDescent="0.2">
      <c r="A42" s="6" t="str">
        <f t="shared" si="0"/>
        <v/>
      </c>
      <c r="B42" s="3"/>
      <c r="C42" s="6" t="str">
        <f>IFERROR(VLOOKUP(B42,メニュー!$B$3:$C$12,2,FALSE),"")</f>
        <v/>
      </c>
      <c r="D42" s="3"/>
      <c r="E42" s="6" t="str">
        <f>IFERROR(VLOOKUP(D42,メニュー!$D$3:$E$4,2,FALSE),"")</f>
        <v/>
      </c>
      <c r="F42" s="3"/>
      <c r="G42" s="6"/>
      <c r="H42" s="3"/>
      <c r="I42" s="6" t="str">
        <f>IFERROR(IF(F42&lt;&gt;"通信機器購入なし",VLOOKUP(F42&amp;H42,メニュー!$H$30:$I$39,2,0),VLOOKUP(D42&amp;F42&amp;H42,メニュー!$H$25:$I$26,2,0)),"")</f>
        <v/>
      </c>
      <c r="J42" s="7"/>
      <c r="K42" s="7"/>
      <c r="L42" s="7"/>
      <c r="M42" s="7"/>
    </row>
    <row r="43" spans="1:13" x14ac:dyDescent="0.2">
      <c r="A43" s="6" t="str">
        <f t="shared" si="0"/>
        <v/>
      </c>
      <c r="B43" s="3"/>
      <c r="C43" s="6" t="str">
        <f>IFERROR(VLOOKUP(B43,メニュー!$B$3:$C$12,2,FALSE),"")</f>
        <v/>
      </c>
      <c r="D43" s="3"/>
      <c r="E43" s="6" t="str">
        <f>IFERROR(VLOOKUP(D43,メニュー!$D$3:$E$4,2,FALSE),"")</f>
        <v/>
      </c>
      <c r="F43" s="3"/>
      <c r="G43" s="6"/>
      <c r="H43" s="3"/>
      <c r="I43" s="6" t="str">
        <f>IFERROR(IF(F43&lt;&gt;"通信機器購入なし",VLOOKUP(F43&amp;H43,メニュー!$H$30:$I$39,2,0),VLOOKUP(D43&amp;F43&amp;H43,メニュー!$H$25:$I$26,2,0)),"")</f>
        <v/>
      </c>
      <c r="J43" s="7"/>
      <c r="K43" s="7"/>
      <c r="L43" s="7"/>
      <c r="M43" s="7"/>
    </row>
    <row r="44" spans="1:13" x14ac:dyDescent="0.2">
      <c r="A44" s="6" t="str">
        <f t="shared" si="0"/>
        <v/>
      </c>
      <c r="B44" s="3"/>
      <c r="C44" s="6" t="str">
        <f>IFERROR(VLOOKUP(B44,メニュー!$B$3:$C$12,2,FALSE),"")</f>
        <v/>
      </c>
      <c r="D44" s="3"/>
      <c r="E44" s="6" t="str">
        <f>IFERROR(VLOOKUP(D44,メニュー!$D$3:$E$4,2,FALSE),"")</f>
        <v/>
      </c>
      <c r="F44" s="3"/>
      <c r="G44" s="6"/>
      <c r="H44" s="3"/>
      <c r="I44" s="6" t="str">
        <f>IFERROR(IF(F44&lt;&gt;"通信機器購入なし",VLOOKUP(F44&amp;H44,メニュー!$H$30:$I$39,2,0),VLOOKUP(D44&amp;F44&amp;H44,メニュー!$H$25:$I$26,2,0)),"")</f>
        <v/>
      </c>
      <c r="J44" s="7"/>
      <c r="K44" s="7"/>
      <c r="L44" s="7"/>
      <c r="M44" s="7"/>
    </row>
    <row r="45" spans="1:13" x14ac:dyDescent="0.2">
      <c r="A45" s="6" t="str">
        <f t="shared" si="0"/>
        <v/>
      </c>
      <c r="B45" s="3"/>
      <c r="C45" s="6" t="str">
        <f>IFERROR(VLOOKUP(B45,メニュー!$B$3:$C$12,2,FALSE),"")</f>
        <v/>
      </c>
      <c r="D45" s="3"/>
      <c r="E45" s="6" t="str">
        <f>IFERROR(VLOOKUP(D45,メニュー!$D$3:$E$4,2,FALSE),"")</f>
        <v/>
      </c>
      <c r="F45" s="3"/>
      <c r="G45" s="6"/>
      <c r="H45" s="3"/>
      <c r="I45" s="6" t="str">
        <f>IFERROR(IF(F45&lt;&gt;"通信機器購入なし",VLOOKUP(F45&amp;H45,メニュー!$H$30:$I$39,2,0),VLOOKUP(D45&amp;F45&amp;H45,メニュー!$H$25:$I$26,2,0)),"")</f>
        <v/>
      </c>
      <c r="J45" s="7"/>
      <c r="K45" s="7"/>
      <c r="L45" s="7"/>
      <c r="M45" s="7"/>
    </row>
    <row r="46" spans="1:13" x14ac:dyDescent="0.2">
      <c r="A46" s="6" t="str">
        <f t="shared" si="0"/>
        <v/>
      </c>
      <c r="B46" s="3"/>
      <c r="C46" s="6" t="str">
        <f>IFERROR(VLOOKUP(B46,メニュー!$B$3:$C$12,2,FALSE),"")</f>
        <v/>
      </c>
      <c r="D46" s="3"/>
      <c r="E46" s="6" t="str">
        <f>IFERROR(VLOOKUP(D46,メニュー!$D$3:$E$4,2,FALSE),"")</f>
        <v/>
      </c>
      <c r="F46" s="3"/>
      <c r="G46" s="6"/>
      <c r="H46" s="3"/>
      <c r="I46" s="6" t="str">
        <f>IFERROR(IF(F46&lt;&gt;"通信機器購入なし",VLOOKUP(F46&amp;H46,メニュー!$H$30:$I$39,2,0),VLOOKUP(D46&amp;F46&amp;H46,メニュー!$H$25:$I$26,2,0)),"")</f>
        <v/>
      </c>
      <c r="J46" s="7"/>
      <c r="K46" s="7"/>
      <c r="L46" s="7"/>
      <c r="M46" s="7"/>
    </row>
    <row r="47" spans="1:13" x14ac:dyDescent="0.2">
      <c r="A47" s="6" t="str">
        <f t="shared" si="0"/>
        <v/>
      </c>
      <c r="B47" s="3"/>
      <c r="C47" s="6" t="str">
        <f>IFERROR(VLOOKUP(B47,メニュー!$B$3:$C$12,2,FALSE),"")</f>
        <v/>
      </c>
      <c r="D47" s="3"/>
      <c r="E47" s="6" t="str">
        <f>IFERROR(VLOOKUP(D47,メニュー!$D$3:$E$4,2,FALSE),"")</f>
        <v/>
      </c>
      <c r="F47" s="3"/>
      <c r="G47" s="6"/>
      <c r="H47" s="3"/>
      <c r="I47" s="6" t="str">
        <f>IFERROR(IF(F47&lt;&gt;"通信機器購入なし",VLOOKUP(F47&amp;H47,メニュー!$H$30:$I$39,2,0),VLOOKUP(D47&amp;F47&amp;H47,メニュー!$H$25:$I$26,2,0)),"")</f>
        <v/>
      </c>
      <c r="J47" s="7"/>
      <c r="K47" s="7"/>
      <c r="L47" s="7"/>
      <c r="M47" s="7"/>
    </row>
    <row r="48" spans="1:13" x14ac:dyDescent="0.2">
      <c r="A48" s="6" t="str">
        <f t="shared" si="0"/>
        <v/>
      </c>
      <c r="B48" s="3"/>
      <c r="C48" s="6" t="str">
        <f>IFERROR(VLOOKUP(B48,メニュー!$B$3:$C$12,2,FALSE),"")</f>
        <v/>
      </c>
      <c r="D48" s="3"/>
      <c r="E48" s="6" t="str">
        <f>IFERROR(VLOOKUP(D48,メニュー!$D$3:$E$4,2,FALSE),"")</f>
        <v/>
      </c>
      <c r="F48" s="3"/>
      <c r="G48" s="6"/>
      <c r="H48" s="3"/>
      <c r="I48" s="6" t="str">
        <f>IFERROR(IF(F48&lt;&gt;"通信機器購入なし",VLOOKUP(F48&amp;H48,メニュー!$H$30:$I$39,2,0),VLOOKUP(D48&amp;F48&amp;H48,メニュー!$H$25:$I$26,2,0)),"")</f>
        <v/>
      </c>
      <c r="J48" s="7"/>
      <c r="K48" s="7"/>
      <c r="L48" s="7"/>
      <c r="M48" s="7"/>
    </row>
    <row r="49" spans="1:13" x14ac:dyDescent="0.2">
      <c r="A49" s="6" t="str">
        <f t="shared" si="0"/>
        <v/>
      </c>
      <c r="B49" s="3"/>
      <c r="C49" s="6" t="str">
        <f>IFERROR(VLOOKUP(B49,メニュー!$B$3:$C$12,2,FALSE),"")</f>
        <v/>
      </c>
      <c r="D49" s="3"/>
      <c r="E49" s="6" t="str">
        <f>IFERROR(VLOOKUP(D49,メニュー!$D$3:$E$4,2,FALSE),"")</f>
        <v/>
      </c>
      <c r="F49" s="3"/>
      <c r="G49" s="6"/>
      <c r="H49" s="3"/>
      <c r="I49" s="6" t="str">
        <f>IFERROR(IF(F49&lt;&gt;"通信機器購入なし",VLOOKUP(F49&amp;H49,メニュー!$H$30:$I$39,2,0),VLOOKUP(D49&amp;F49&amp;H49,メニュー!$H$25:$I$26,2,0)),"")</f>
        <v/>
      </c>
      <c r="J49" s="7"/>
      <c r="K49" s="7"/>
      <c r="L49" s="7"/>
      <c r="M49" s="7"/>
    </row>
    <row r="50" spans="1:13" x14ac:dyDescent="0.2">
      <c r="A50" s="6" t="str">
        <f t="shared" si="0"/>
        <v/>
      </c>
      <c r="B50" s="3"/>
      <c r="C50" s="6" t="str">
        <f>IFERROR(VLOOKUP(B50,メニュー!$B$3:$C$12,2,FALSE),"")</f>
        <v/>
      </c>
      <c r="D50" s="3"/>
      <c r="E50" s="6" t="str">
        <f>IFERROR(VLOOKUP(D50,メニュー!$D$3:$E$4,2,FALSE),"")</f>
        <v/>
      </c>
      <c r="F50" s="3"/>
      <c r="G50" s="6"/>
      <c r="H50" s="3"/>
      <c r="I50" s="6" t="str">
        <f>IFERROR(IF(F50&lt;&gt;"通信機器購入なし",VLOOKUP(F50&amp;H50,メニュー!$H$30:$I$39,2,0),VLOOKUP(D50&amp;F50&amp;H50,メニュー!$H$25:$I$26,2,0)),"")</f>
        <v/>
      </c>
      <c r="J50" s="7"/>
      <c r="K50" s="7"/>
      <c r="L50" s="7"/>
      <c r="M50" s="7"/>
    </row>
    <row r="51" spans="1:13" x14ac:dyDescent="0.2">
      <c r="A51" s="6" t="str">
        <f t="shared" si="0"/>
        <v/>
      </c>
      <c r="B51" s="3"/>
      <c r="C51" s="6" t="str">
        <f>IFERROR(VLOOKUP(B51,メニュー!$B$3:$C$12,2,FALSE),"")</f>
        <v/>
      </c>
      <c r="D51" s="3"/>
      <c r="E51" s="6" t="str">
        <f>IFERROR(VLOOKUP(D51,メニュー!$D$3:$E$4,2,FALSE),"")</f>
        <v/>
      </c>
      <c r="F51" s="3"/>
      <c r="G51" s="6"/>
      <c r="H51" s="3"/>
      <c r="I51" s="6" t="str">
        <f>IFERROR(IF(F51&lt;&gt;"通信機器購入なし",VLOOKUP(F51&amp;H51,メニュー!$H$30:$I$39,2,0),VLOOKUP(D51&amp;F51&amp;H51,メニュー!$H$25:$I$26,2,0)),"")</f>
        <v/>
      </c>
      <c r="J51" s="7"/>
      <c r="K51" s="7"/>
      <c r="L51" s="7"/>
      <c r="M51" s="7"/>
    </row>
    <row r="52" spans="1:13" x14ac:dyDescent="0.2">
      <c r="A52" s="6" t="str">
        <f t="shared" si="0"/>
        <v/>
      </c>
      <c r="B52" s="3"/>
      <c r="C52" s="6" t="str">
        <f>IFERROR(VLOOKUP(B52,メニュー!$B$3:$C$12,2,FALSE),"")</f>
        <v/>
      </c>
      <c r="D52" s="3"/>
      <c r="E52" s="6" t="str">
        <f>IFERROR(VLOOKUP(D52,メニュー!$D$3:$E$4,2,FALSE),"")</f>
        <v/>
      </c>
      <c r="F52" s="3"/>
      <c r="G52" s="6"/>
      <c r="H52" s="3"/>
      <c r="I52" s="6" t="str">
        <f>IFERROR(IF(F52&lt;&gt;"通信機器購入なし",VLOOKUP(F52&amp;H52,メニュー!$H$30:$I$39,2,0),VLOOKUP(D52&amp;F52&amp;H52,メニュー!$H$25:$I$26,2,0)),"")</f>
        <v/>
      </c>
      <c r="J52" s="7"/>
      <c r="K52" s="7"/>
      <c r="L52" s="7"/>
      <c r="M52" s="7"/>
    </row>
    <row r="53" spans="1:13" x14ac:dyDescent="0.2">
      <c r="A53" s="6" t="str">
        <f t="shared" si="0"/>
        <v/>
      </c>
      <c r="B53" s="3"/>
      <c r="C53" s="6" t="str">
        <f>IFERROR(VLOOKUP(B53,メニュー!$B$3:$C$12,2,FALSE),"")</f>
        <v/>
      </c>
      <c r="D53" s="3"/>
      <c r="E53" s="6" t="str">
        <f>IFERROR(VLOOKUP(D53,メニュー!$D$3:$E$4,2,FALSE),"")</f>
        <v/>
      </c>
      <c r="F53" s="3"/>
      <c r="G53" s="6"/>
      <c r="H53" s="3"/>
      <c r="I53" s="6" t="str">
        <f>IFERROR(IF(F53&lt;&gt;"通信機器購入なし",VLOOKUP(F53&amp;H53,メニュー!$H$30:$I$39,2,0),VLOOKUP(D53&amp;F53&amp;H53,メニュー!$H$25:$I$26,2,0)),"")</f>
        <v/>
      </c>
      <c r="J53" s="7"/>
      <c r="K53" s="7"/>
      <c r="L53" s="7"/>
      <c r="M53" s="7"/>
    </row>
    <row r="54" spans="1:13" x14ac:dyDescent="0.2">
      <c r="A54" s="6" t="str">
        <f t="shared" si="0"/>
        <v/>
      </c>
      <c r="B54" s="3"/>
      <c r="C54" s="6" t="str">
        <f>IFERROR(VLOOKUP(B54,メニュー!$B$3:$C$12,2,FALSE),"")</f>
        <v/>
      </c>
      <c r="D54" s="3"/>
      <c r="E54" s="6" t="str">
        <f>IFERROR(VLOOKUP(D54,メニュー!$D$3:$E$4,2,FALSE),"")</f>
        <v/>
      </c>
      <c r="F54" s="3"/>
      <c r="G54" s="6"/>
      <c r="H54" s="3"/>
      <c r="I54" s="6" t="str">
        <f>IFERROR(IF(F54&lt;&gt;"通信機器購入なし",VLOOKUP(F54&amp;H54,メニュー!$H$30:$I$39,2,0),VLOOKUP(D54&amp;F54&amp;H54,メニュー!$H$25:$I$26,2,0)),"")</f>
        <v/>
      </c>
      <c r="J54" s="7"/>
      <c r="K54" s="7"/>
      <c r="L54" s="7"/>
      <c r="M54" s="7"/>
    </row>
    <row r="55" spans="1:13" x14ac:dyDescent="0.2">
      <c r="A55" s="6" t="str">
        <f t="shared" si="0"/>
        <v/>
      </c>
      <c r="B55" s="3"/>
      <c r="C55" s="6" t="str">
        <f>IFERROR(VLOOKUP(B55,メニュー!$B$3:$C$12,2,FALSE),"")</f>
        <v/>
      </c>
      <c r="D55" s="3"/>
      <c r="E55" s="6" t="str">
        <f>IFERROR(VLOOKUP(D55,メニュー!$D$3:$E$4,2,FALSE),"")</f>
        <v/>
      </c>
      <c r="F55" s="3"/>
      <c r="G55" s="6"/>
      <c r="H55" s="3"/>
      <c r="I55" s="6" t="str">
        <f>IFERROR(IF(F55&lt;&gt;"通信機器購入なし",VLOOKUP(F55&amp;H55,メニュー!$H$30:$I$39,2,0),VLOOKUP(D55&amp;F55&amp;H55,メニュー!$H$25:$I$26,2,0)),"")</f>
        <v/>
      </c>
      <c r="J55" s="7"/>
      <c r="K55" s="7"/>
      <c r="L55" s="7"/>
      <c r="M55" s="7"/>
    </row>
    <row r="56" spans="1:13" x14ac:dyDescent="0.2">
      <c r="A56" s="6" t="str">
        <f t="shared" si="0"/>
        <v/>
      </c>
      <c r="B56" s="3"/>
      <c r="C56" s="6" t="str">
        <f>IFERROR(VLOOKUP(B56,メニュー!$B$3:$C$12,2,FALSE),"")</f>
        <v/>
      </c>
      <c r="D56" s="3"/>
      <c r="E56" s="6" t="str">
        <f>IFERROR(VLOOKUP(D56,メニュー!$D$3:$E$4,2,FALSE),"")</f>
        <v/>
      </c>
      <c r="F56" s="3"/>
      <c r="G56" s="6"/>
      <c r="H56" s="3"/>
      <c r="I56" s="6" t="str">
        <f>IFERROR(IF(F56&lt;&gt;"通信機器購入なし",VLOOKUP(F56&amp;H56,メニュー!$H$30:$I$39,2,0),VLOOKUP(D56&amp;F56&amp;H56,メニュー!$H$25:$I$26,2,0)),"")</f>
        <v/>
      </c>
      <c r="J56" s="7"/>
      <c r="K56" s="7"/>
      <c r="L56" s="7"/>
      <c r="M56" s="7"/>
    </row>
    <row r="57" spans="1:13" x14ac:dyDescent="0.2">
      <c r="A57" s="6" t="str">
        <f t="shared" si="0"/>
        <v/>
      </c>
      <c r="B57" s="3"/>
      <c r="C57" s="6" t="str">
        <f>IFERROR(VLOOKUP(B57,メニュー!$B$3:$C$12,2,FALSE),"")</f>
        <v/>
      </c>
      <c r="D57" s="3"/>
      <c r="E57" s="6" t="str">
        <f>IFERROR(VLOOKUP(D57,メニュー!$D$3:$E$4,2,FALSE),"")</f>
        <v/>
      </c>
      <c r="F57" s="3"/>
      <c r="G57" s="6"/>
      <c r="H57" s="3"/>
      <c r="I57" s="6" t="str">
        <f>IFERROR(IF(F57&lt;&gt;"通信機器購入なし",VLOOKUP(F57&amp;H57,メニュー!$H$30:$I$39,2,0),VLOOKUP(D57&amp;F57&amp;H57,メニュー!$H$25:$I$26,2,0)),"")</f>
        <v/>
      </c>
      <c r="J57" s="7"/>
      <c r="K57" s="7"/>
      <c r="L57" s="7"/>
      <c r="M57" s="7"/>
    </row>
    <row r="58" spans="1:13" x14ac:dyDescent="0.2">
      <c r="A58" s="6" t="str">
        <f t="shared" si="0"/>
        <v/>
      </c>
      <c r="B58" s="3"/>
      <c r="C58" s="6" t="str">
        <f>IFERROR(VLOOKUP(B58,メニュー!$B$3:$C$12,2,FALSE),"")</f>
        <v/>
      </c>
      <c r="D58" s="3"/>
      <c r="E58" s="6" t="str">
        <f>IFERROR(VLOOKUP(D58,メニュー!$D$3:$E$4,2,FALSE),"")</f>
        <v/>
      </c>
      <c r="F58" s="3"/>
      <c r="G58" s="6"/>
      <c r="H58" s="3"/>
      <c r="I58" s="6" t="str">
        <f>IFERROR(IF(F58&lt;&gt;"通信機器購入なし",VLOOKUP(F58&amp;H58,メニュー!$H$30:$I$39,2,0),VLOOKUP(D58&amp;F58&amp;H58,メニュー!$H$25:$I$26,2,0)),"")</f>
        <v/>
      </c>
      <c r="J58" s="7"/>
      <c r="K58" s="7"/>
      <c r="L58" s="7"/>
      <c r="M58" s="7"/>
    </row>
    <row r="59" spans="1:13" x14ac:dyDescent="0.2">
      <c r="A59" s="6" t="str">
        <f t="shared" si="0"/>
        <v/>
      </c>
      <c r="B59" s="3"/>
      <c r="C59" s="6" t="str">
        <f>IFERROR(VLOOKUP(B59,メニュー!$B$3:$C$12,2,FALSE),"")</f>
        <v/>
      </c>
      <c r="D59" s="3"/>
      <c r="E59" s="6" t="str">
        <f>IFERROR(VLOOKUP(D59,メニュー!$D$3:$E$4,2,FALSE),"")</f>
        <v/>
      </c>
      <c r="F59" s="3"/>
      <c r="G59" s="6"/>
      <c r="H59" s="3"/>
      <c r="I59" s="6" t="str">
        <f>IFERROR(IF(F59&lt;&gt;"通信機器購入なし",VLOOKUP(F59&amp;H59,メニュー!$H$30:$I$39,2,0),VLOOKUP(D59&amp;F59&amp;H59,メニュー!$H$25:$I$26,2,0)),"")</f>
        <v/>
      </c>
      <c r="J59" s="7"/>
      <c r="K59" s="7"/>
      <c r="L59" s="7"/>
      <c r="M59" s="7"/>
    </row>
    <row r="60" spans="1:13" x14ac:dyDescent="0.2">
      <c r="A60" s="6" t="str">
        <f t="shared" si="0"/>
        <v/>
      </c>
      <c r="B60" s="3"/>
      <c r="C60" s="6" t="str">
        <f>IFERROR(VLOOKUP(B60,メニュー!$B$3:$C$12,2,FALSE),"")</f>
        <v/>
      </c>
      <c r="D60" s="3"/>
      <c r="E60" s="6" t="str">
        <f>IFERROR(VLOOKUP(D60,メニュー!$D$3:$E$4,2,FALSE),"")</f>
        <v/>
      </c>
      <c r="F60" s="3"/>
      <c r="G60" s="6"/>
      <c r="H60" s="3"/>
      <c r="I60" s="6" t="str">
        <f>IFERROR(IF(F60&lt;&gt;"通信機器購入なし",VLOOKUP(F60&amp;H60,メニュー!$H$30:$I$39,2,0),VLOOKUP(D60&amp;F60&amp;H60,メニュー!$H$25:$I$26,2,0)),"")</f>
        <v/>
      </c>
      <c r="J60" s="7"/>
      <c r="K60" s="7"/>
      <c r="L60" s="7"/>
      <c r="M60" s="7"/>
    </row>
    <row r="61" spans="1:13" x14ac:dyDescent="0.2">
      <c r="A61" s="6" t="str">
        <f t="shared" si="0"/>
        <v/>
      </c>
      <c r="B61" s="3"/>
      <c r="C61" s="6" t="str">
        <f>IFERROR(VLOOKUP(B61,メニュー!$B$3:$C$12,2,FALSE),"")</f>
        <v/>
      </c>
      <c r="D61" s="3"/>
      <c r="E61" s="6" t="str">
        <f>IFERROR(VLOOKUP(D61,メニュー!$D$3:$E$4,2,FALSE),"")</f>
        <v/>
      </c>
      <c r="F61" s="3"/>
      <c r="G61" s="6"/>
      <c r="H61" s="3"/>
      <c r="I61" s="6" t="str">
        <f>IFERROR(IF(F61&lt;&gt;"通信機器購入なし",VLOOKUP(F61&amp;H61,メニュー!$H$30:$I$39,2,0),VLOOKUP(D61&amp;F61&amp;H61,メニュー!$H$25:$I$26,2,0)),"")</f>
        <v/>
      </c>
      <c r="J61" s="7"/>
      <c r="K61" s="7"/>
      <c r="L61" s="7"/>
      <c r="M61" s="7"/>
    </row>
    <row r="62" spans="1:13" x14ac:dyDescent="0.2">
      <c r="A62" s="6" t="str">
        <f t="shared" si="0"/>
        <v/>
      </c>
      <c r="B62" s="3"/>
      <c r="C62" s="6" t="str">
        <f>IFERROR(VLOOKUP(B62,メニュー!$B$3:$C$12,2,FALSE),"")</f>
        <v/>
      </c>
      <c r="D62" s="3"/>
      <c r="E62" s="6" t="str">
        <f>IFERROR(VLOOKUP(D62,メニュー!$D$3:$E$4,2,FALSE),"")</f>
        <v/>
      </c>
      <c r="F62" s="3"/>
      <c r="G62" s="6"/>
      <c r="H62" s="3"/>
      <c r="I62" s="6" t="str">
        <f>IFERROR(IF(F62&lt;&gt;"通信機器購入なし",VLOOKUP(F62&amp;H62,メニュー!$H$30:$I$39,2,0),VLOOKUP(D62&amp;F62&amp;H62,メニュー!$H$25:$I$26,2,0)),"")</f>
        <v/>
      </c>
      <c r="J62" s="7"/>
      <c r="K62" s="7"/>
      <c r="L62" s="7"/>
      <c r="M62" s="7"/>
    </row>
    <row r="63" spans="1:13" x14ac:dyDescent="0.2">
      <c r="A63" s="6" t="str">
        <f t="shared" si="0"/>
        <v/>
      </c>
      <c r="B63" s="3"/>
      <c r="C63" s="6" t="str">
        <f>IFERROR(VLOOKUP(B63,メニュー!$B$3:$C$12,2,FALSE),"")</f>
        <v/>
      </c>
      <c r="D63" s="3"/>
      <c r="E63" s="6" t="str">
        <f>IFERROR(VLOOKUP(D63,メニュー!$D$3:$E$4,2,FALSE),"")</f>
        <v/>
      </c>
      <c r="F63" s="3"/>
      <c r="G63" s="6"/>
      <c r="H63" s="3"/>
      <c r="I63" s="6" t="str">
        <f>IFERROR(IF(F63&lt;&gt;"通信機器購入なし",VLOOKUP(F63&amp;H63,メニュー!$H$30:$I$39,2,0),VLOOKUP(D63&amp;F63&amp;H63,メニュー!$H$25:$I$26,2,0)),"")</f>
        <v/>
      </c>
      <c r="J63" s="7"/>
      <c r="K63" s="7"/>
      <c r="L63" s="7"/>
      <c r="M63" s="7"/>
    </row>
    <row r="64" spans="1:13" x14ac:dyDescent="0.2">
      <c r="A64" s="6" t="str">
        <f t="shared" si="0"/>
        <v/>
      </c>
      <c r="B64" s="3"/>
      <c r="C64" s="6" t="str">
        <f>IFERROR(VLOOKUP(B64,メニュー!$B$3:$C$12,2,FALSE),"")</f>
        <v/>
      </c>
      <c r="D64" s="3"/>
      <c r="E64" s="6" t="str">
        <f>IFERROR(VLOOKUP(D64,メニュー!$D$3:$E$4,2,FALSE),"")</f>
        <v/>
      </c>
      <c r="F64" s="3"/>
      <c r="G64" s="6"/>
      <c r="H64" s="3"/>
      <c r="I64" s="6" t="str">
        <f>IFERROR(IF(F64&lt;&gt;"通信機器購入なし",VLOOKUP(F64&amp;H64,メニュー!$H$30:$I$39,2,0),VLOOKUP(D64&amp;F64&amp;H64,メニュー!$H$25:$I$26,2,0)),"")</f>
        <v/>
      </c>
      <c r="J64" s="7"/>
      <c r="K64" s="7"/>
      <c r="L64" s="7"/>
      <c r="M64" s="7"/>
    </row>
    <row r="65" spans="1:13" x14ac:dyDescent="0.2">
      <c r="A65" s="6" t="str">
        <f t="shared" si="0"/>
        <v/>
      </c>
      <c r="B65" s="3"/>
      <c r="C65" s="6" t="str">
        <f>IFERROR(VLOOKUP(B65,メニュー!$B$3:$C$12,2,FALSE),"")</f>
        <v/>
      </c>
      <c r="D65" s="3"/>
      <c r="E65" s="6" t="str">
        <f>IFERROR(VLOOKUP(D65,メニュー!$D$3:$E$4,2,FALSE),"")</f>
        <v/>
      </c>
      <c r="F65" s="3"/>
      <c r="G65" s="6"/>
      <c r="H65" s="3"/>
      <c r="I65" s="6" t="str">
        <f>IFERROR(IF(F65&lt;&gt;"通信機器購入なし",VLOOKUP(F65&amp;H65,メニュー!$H$30:$I$39,2,0),VLOOKUP(D65&amp;F65&amp;H65,メニュー!$H$25:$I$26,2,0)),"")</f>
        <v/>
      </c>
      <c r="J65" s="7"/>
      <c r="K65" s="7"/>
      <c r="L65" s="7"/>
      <c r="M65" s="7"/>
    </row>
    <row r="66" spans="1:13" x14ac:dyDescent="0.2">
      <c r="A66" s="6" t="str">
        <f t="shared" si="0"/>
        <v/>
      </c>
      <c r="B66" s="3"/>
      <c r="C66" s="6" t="str">
        <f>IFERROR(VLOOKUP(B66,メニュー!$B$3:$C$12,2,FALSE),"")</f>
        <v/>
      </c>
      <c r="D66" s="3"/>
      <c r="E66" s="6" t="str">
        <f>IFERROR(VLOOKUP(D66,メニュー!$D$3:$E$4,2,FALSE),"")</f>
        <v/>
      </c>
      <c r="F66" s="3"/>
      <c r="G66" s="6"/>
      <c r="H66" s="3"/>
      <c r="I66" s="6" t="str">
        <f>IFERROR(IF(F66&lt;&gt;"通信機器購入なし",VLOOKUP(F66&amp;H66,メニュー!$H$30:$I$39,2,0),VLOOKUP(D66&amp;F66&amp;H66,メニュー!$H$25:$I$26,2,0)),"")</f>
        <v/>
      </c>
      <c r="J66" s="7"/>
      <c r="K66" s="7"/>
      <c r="L66" s="7"/>
      <c r="M66" s="7"/>
    </row>
    <row r="67" spans="1:13" x14ac:dyDescent="0.2">
      <c r="A67" s="6" t="str">
        <f t="shared" si="0"/>
        <v/>
      </c>
      <c r="B67" s="3"/>
      <c r="C67" s="6" t="str">
        <f>IFERROR(VLOOKUP(B67,メニュー!$B$3:$C$12,2,FALSE),"")</f>
        <v/>
      </c>
      <c r="D67" s="3"/>
      <c r="E67" s="6" t="str">
        <f>IFERROR(VLOOKUP(D67,メニュー!$D$3:$E$4,2,FALSE),"")</f>
        <v/>
      </c>
      <c r="F67" s="3"/>
      <c r="G67" s="6"/>
      <c r="H67" s="3"/>
      <c r="I67" s="6" t="str">
        <f>IFERROR(IF(F67&lt;&gt;"通信機器購入なし",VLOOKUP(F67&amp;H67,メニュー!$H$30:$I$39,2,0),VLOOKUP(D67&amp;F67&amp;H67,メニュー!$H$25:$I$26,2,0)),"")</f>
        <v/>
      </c>
      <c r="J67" s="7"/>
      <c r="K67" s="7"/>
      <c r="L67" s="7"/>
      <c r="M67" s="7"/>
    </row>
    <row r="68" spans="1:13" x14ac:dyDescent="0.2">
      <c r="A68" s="6" t="str">
        <f t="shared" ref="A68:A131" si="1">IF(B68="","",ROW()-1)</f>
        <v/>
      </c>
      <c r="B68" s="3"/>
      <c r="C68" s="6" t="str">
        <f>IFERROR(VLOOKUP(B68,メニュー!$B$3:$C$12,2,FALSE),"")</f>
        <v/>
      </c>
      <c r="D68" s="3"/>
      <c r="E68" s="6" t="str">
        <f>IFERROR(VLOOKUP(D68,メニュー!$D$3:$E$4,2,FALSE),"")</f>
        <v/>
      </c>
      <c r="F68" s="3"/>
      <c r="G68" s="6"/>
      <c r="H68" s="3"/>
      <c r="I68" s="6" t="str">
        <f>IFERROR(IF(F68&lt;&gt;"通信機器購入なし",VLOOKUP(F68&amp;H68,メニュー!$H$30:$I$39,2,0),VLOOKUP(D68&amp;F68&amp;H68,メニュー!$H$25:$I$26,2,0)),"")</f>
        <v/>
      </c>
      <c r="J68" s="7"/>
      <c r="K68" s="7"/>
      <c r="L68" s="7"/>
      <c r="M68" s="7"/>
    </row>
    <row r="69" spans="1:13" x14ac:dyDescent="0.2">
      <c r="A69" s="6" t="str">
        <f t="shared" si="1"/>
        <v/>
      </c>
      <c r="B69" s="3"/>
      <c r="C69" s="6" t="str">
        <f>IFERROR(VLOOKUP(B69,メニュー!$B$3:$C$12,2,FALSE),"")</f>
        <v/>
      </c>
      <c r="D69" s="3"/>
      <c r="E69" s="6" t="str">
        <f>IFERROR(VLOOKUP(D69,メニュー!$D$3:$E$4,2,FALSE),"")</f>
        <v/>
      </c>
      <c r="F69" s="3"/>
      <c r="G69" s="6"/>
      <c r="H69" s="3"/>
      <c r="I69" s="6" t="str">
        <f>IFERROR(IF(F69&lt;&gt;"通信機器購入なし",VLOOKUP(F69&amp;H69,メニュー!$H$30:$I$39,2,0),VLOOKUP(D69&amp;F69&amp;H69,メニュー!$H$25:$I$26,2,0)),"")</f>
        <v/>
      </c>
      <c r="J69" s="7"/>
      <c r="K69" s="7"/>
      <c r="L69" s="7"/>
      <c r="M69" s="7"/>
    </row>
    <row r="70" spans="1:13" x14ac:dyDescent="0.2">
      <c r="A70" s="6" t="str">
        <f t="shared" si="1"/>
        <v/>
      </c>
      <c r="B70" s="3"/>
      <c r="C70" s="6" t="str">
        <f>IFERROR(VLOOKUP(B70,メニュー!$B$3:$C$12,2,FALSE),"")</f>
        <v/>
      </c>
      <c r="D70" s="3"/>
      <c r="E70" s="6" t="str">
        <f>IFERROR(VLOOKUP(D70,メニュー!$D$3:$E$4,2,FALSE),"")</f>
        <v/>
      </c>
      <c r="F70" s="3"/>
      <c r="G70" s="6"/>
      <c r="H70" s="3"/>
      <c r="I70" s="6" t="str">
        <f>IFERROR(IF(F70&lt;&gt;"通信機器購入なし",VLOOKUP(F70&amp;H70,メニュー!$H$30:$I$39,2,0),VLOOKUP(D70&amp;F70&amp;H70,メニュー!$H$25:$I$26,2,0)),"")</f>
        <v/>
      </c>
      <c r="J70" s="7"/>
      <c r="K70" s="7"/>
      <c r="L70" s="7"/>
      <c r="M70" s="7"/>
    </row>
    <row r="71" spans="1:13" x14ac:dyDescent="0.2">
      <c r="A71" s="6" t="str">
        <f t="shared" si="1"/>
        <v/>
      </c>
      <c r="B71" s="3"/>
      <c r="C71" s="6" t="str">
        <f>IFERROR(VLOOKUP(B71,メニュー!$B$3:$C$12,2,FALSE),"")</f>
        <v/>
      </c>
      <c r="D71" s="3"/>
      <c r="E71" s="6" t="str">
        <f>IFERROR(VLOOKUP(D71,メニュー!$D$3:$E$4,2,FALSE),"")</f>
        <v/>
      </c>
      <c r="F71" s="3"/>
      <c r="G71" s="6"/>
      <c r="H71" s="3"/>
      <c r="I71" s="6" t="str">
        <f>IFERROR(IF(F71&lt;&gt;"通信機器購入なし",VLOOKUP(F71&amp;H71,メニュー!$H$30:$I$39,2,0),VLOOKUP(D71&amp;F71&amp;H71,メニュー!$H$25:$I$26,2,0)),"")</f>
        <v/>
      </c>
      <c r="J71" s="7"/>
      <c r="K71" s="7"/>
      <c r="L71" s="7"/>
      <c r="M71" s="7"/>
    </row>
    <row r="72" spans="1:13" x14ac:dyDescent="0.2">
      <c r="A72" s="6" t="str">
        <f t="shared" si="1"/>
        <v/>
      </c>
      <c r="B72" s="3"/>
      <c r="C72" s="6" t="str">
        <f>IFERROR(VLOOKUP(B72,メニュー!$B$3:$C$12,2,FALSE),"")</f>
        <v/>
      </c>
      <c r="D72" s="3"/>
      <c r="E72" s="6" t="str">
        <f>IFERROR(VLOOKUP(D72,メニュー!$D$3:$E$4,2,FALSE),"")</f>
        <v/>
      </c>
      <c r="F72" s="3"/>
      <c r="G72" s="6"/>
      <c r="H72" s="3"/>
      <c r="I72" s="6" t="str">
        <f>IFERROR(IF(F72&lt;&gt;"通信機器購入なし",VLOOKUP(F72&amp;H72,メニュー!$H$30:$I$39,2,0),VLOOKUP(D72&amp;F72&amp;H72,メニュー!$H$25:$I$26,2,0)),"")</f>
        <v/>
      </c>
      <c r="J72" s="7"/>
      <c r="K72" s="7"/>
      <c r="L72" s="7"/>
      <c r="M72" s="7"/>
    </row>
    <row r="73" spans="1:13" x14ac:dyDescent="0.2">
      <c r="A73" s="6" t="str">
        <f t="shared" si="1"/>
        <v/>
      </c>
      <c r="B73" s="3"/>
      <c r="C73" s="6" t="str">
        <f>IFERROR(VLOOKUP(B73,メニュー!$B$3:$C$12,2,FALSE),"")</f>
        <v/>
      </c>
      <c r="D73" s="3"/>
      <c r="E73" s="6" t="str">
        <f>IFERROR(VLOOKUP(D73,メニュー!$D$3:$E$4,2,FALSE),"")</f>
        <v/>
      </c>
      <c r="F73" s="3"/>
      <c r="G73" s="6"/>
      <c r="H73" s="3"/>
      <c r="I73" s="6" t="str">
        <f>IFERROR(IF(F73&lt;&gt;"通信機器購入なし",VLOOKUP(F73&amp;H73,メニュー!$H$30:$I$39,2,0),VLOOKUP(D73&amp;F73&amp;H73,メニュー!$H$25:$I$26,2,0)),"")</f>
        <v/>
      </c>
      <c r="J73" s="7"/>
      <c r="K73" s="7"/>
      <c r="L73" s="7"/>
      <c r="M73" s="7"/>
    </row>
    <row r="74" spans="1:13" x14ac:dyDescent="0.2">
      <c r="A74" s="6" t="str">
        <f t="shared" si="1"/>
        <v/>
      </c>
      <c r="B74" s="3"/>
      <c r="C74" s="6" t="str">
        <f>IFERROR(VLOOKUP(B74,メニュー!$B$3:$C$12,2,FALSE),"")</f>
        <v/>
      </c>
      <c r="D74" s="3"/>
      <c r="E74" s="6" t="str">
        <f>IFERROR(VLOOKUP(D74,メニュー!$D$3:$E$4,2,FALSE),"")</f>
        <v/>
      </c>
      <c r="F74" s="3"/>
      <c r="G74" s="6"/>
      <c r="H74" s="3"/>
      <c r="I74" s="6" t="str">
        <f>IFERROR(IF(F74&lt;&gt;"通信機器購入なし",VLOOKUP(F74&amp;H74,メニュー!$H$30:$I$39,2,0),VLOOKUP(D74&amp;F74&amp;H74,メニュー!$H$25:$I$26,2,0)),"")</f>
        <v/>
      </c>
      <c r="J74" s="7"/>
      <c r="K74" s="7"/>
      <c r="L74" s="7"/>
      <c r="M74" s="7"/>
    </row>
    <row r="75" spans="1:13" x14ac:dyDescent="0.2">
      <c r="A75" s="6" t="str">
        <f t="shared" si="1"/>
        <v/>
      </c>
      <c r="B75" s="3"/>
      <c r="C75" s="6" t="str">
        <f>IFERROR(VLOOKUP(B75,メニュー!$B$3:$C$12,2,FALSE),"")</f>
        <v/>
      </c>
      <c r="D75" s="3"/>
      <c r="E75" s="6" t="str">
        <f>IFERROR(VLOOKUP(D75,メニュー!$D$3:$E$4,2,FALSE),"")</f>
        <v/>
      </c>
      <c r="F75" s="3"/>
      <c r="G75" s="6"/>
      <c r="H75" s="3"/>
      <c r="I75" s="6" t="str">
        <f>IFERROR(IF(F75&lt;&gt;"通信機器購入なし",VLOOKUP(F75&amp;H75,メニュー!$H$30:$I$39,2,0),VLOOKUP(D75&amp;F75&amp;H75,メニュー!$H$25:$I$26,2,0)),"")</f>
        <v/>
      </c>
      <c r="J75" s="7"/>
      <c r="K75" s="7"/>
      <c r="L75" s="7"/>
      <c r="M75" s="7"/>
    </row>
    <row r="76" spans="1:13" x14ac:dyDescent="0.2">
      <c r="A76" s="6" t="str">
        <f t="shared" si="1"/>
        <v/>
      </c>
      <c r="B76" s="3"/>
      <c r="C76" s="6" t="str">
        <f>IFERROR(VLOOKUP(B76,メニュー!$B$3:$C$12,2,FALSE),"")</f>
        <v/>
      </c>
      <c r="D76" s="3"/>
      <c r="E76" s="6" t="str">
        <f>IFERROR(VLOOKUP(D76,メニュー!$D$3:$E$4,2,FALSE),"")</f>
        <v/>
      </c>
      <c r="F76" s="3"/>
      <c r="G76" s="6"/>
      <c r="H76" s="3"/>
      <c r="I76" s="6" t="str">
        <f>IFERROR(IF(F76&lt;&gt;"通信機器購入なし",VLOOKUP(F76&amp;H76,メニュー!$H$30:$I$39,2,0),VLOOKUP(D76&amp;F76&amp;H76,メニュー!$H$25:$I$26,2,0)),"")</f>
        <v/>
      </c>
      <c r="J76" s="7"/>
      <c r="K76" s="7"/>
      <c r="L76" s="7"/>
      <c r="M76" s="7"/>
    </row>
    <row r="77" spans="1:13" x14ac:dyDescent="0.2">
      <c r="A77" s="6" t="str">
        <f t="shared" si="1"/>
        <v/>
      </c>
      <c r="B77" s="3"/>
      <c r="C77" s="6" t="str">
        <f>IFERROR(VLOOKUP(B77,メニュー!$B$3:$C$12,2,FALSE),"")</f>
        <v/>
      </c>
      <c r="D77" s="3"/>
      <c r="E77" s="6" t="str">
        <f>IFERROR(VLOOKUP(D77,メニュー!$D$3:$E$4,2,FALSE),"")</f>
        <v/>
      </c>
      <c r="F77" s="3"/>
      <c r="G77" s="6"/>
      <c r="H77" s="3"/>
      <c r="I77" s="6" t="str">
        <f>IFERROR(IF(F77&lt;&gt;"通信機器購入なし",VLOOKUP(F77&amp;H77,メニュー!$H$30:$I$39,2,0),VLOOKUP(D77&amp;F77&amp;H77,メニュー!$H$25:$I$26,2,0)),"")</f>
        <v/>
      </c>
      <c r="J77" s="7"/>
      <c r="K77" s="7"/>
      <c r="L77" s="7"/>
      <c r="M77" s="7"/>
    </row>
    <row r="78" spans="1:13" x14ac:dyDescent="0.2">
      <c r="A78" s="6" t="str">
        <f t="shared" si="1"/>
        <v/>
      </c>
      <c r="B78" s="3"/>
      <c r="C78" s="6" t="str">
        <f>IFERROR(VLOOKUP(B78,メニュー!$B$3:$C$12,2,FALSE),"")</f>
        <v/>
      </c>
      <c r="D78" s="3"/>
      <c r="E78" s="6" t="str">
        <f>IFERROR(VLOOKUP(D78,メニュー!$D$3:$E$4,2,FALSE),"")</f>
        <v/>
      </c>
      <c r="F78" s="3"/>
      <c r="G78" s="6"/>
      <c r="H78" s="3"/>
      <c r="I78" s="6" t="str">
        <f>IFERROR(IF(F78&lt;&gt;"通信機器購入なし",VLOOKUP(F78&amp;H78,メニュー!$H$30:$I$39,2,0),VLOOKUP(D78&amp;F78&amp;H78,メニュー!$H$25:$I$26,2,0)),"")</f>
        <v/>
      </c>
      <c r="J78" s="7"/>
      <c r="K78" s="7"/>
      <c r="L78" s="7"/>
      <c r="M78" s="7"/>
    </row>
    <row r="79" spans="1:13" x14ac:dyDescent="0.2">
      <c r="A79" s="6" t="str">
        <f t="shared" si="1"/>
        <v/>
      </c>
      <c r="B79" s="3"/>
      <c r="C79" s="6" t="str">
        <f>IFERROR(VLOOKUP(B79,メニュー!$B$3:$C$12,2,FALSE),"")</f>
        <v/>
      </c>
      <c r="D79" s="3"/>
      <c r="E79" s="6" t="str">
        <f>IFERROR(VLOOKUP(D79,メニュー!$D$3:$E$4,2,FALSE),"")</f>
        <v/>
      </c>
      <c r="F79" s="3"/>
      <c r="G79" s="6"/>
      <c r="H79" s="3"/>
      <c r="I79" s="6" t="str">
        <f>IFERROR(IF(F79&lt;&gt;"通信機器購入なし",VLOOKUP(F79&amp;H79,メニュー!$H$30:$I$39,2,0),VLOOKUP(D79&amp;F79&amp;H79,メニュー!$H$25:$I$26,2,0)),"")</f>
        <v/>
      </c>
      <c r="J79" s="7"/>
      <c r="K79" s="7"/>
      <c r="L79" s="7"/>
      <c r="M79" s="7"/>
    </row>
    <row r="80" spans="1:13" x14ac:dyDescent="0.2">
      <c r="A80" s="6" t="str">
        <f t="shared" si="1"/>
        <v/>
      </c>
      <c r="B80" s="3"/>
      <c r="C80" s="6" t="str">
        <f>IFERROR(VLOOKUP(B80,メニュー!$B$3:$C$12,2,FALSE),"")</f>
        <v/>
      </c>
      <c r="D80" s="3"/>
      <c r="E80" s="6" t="str">
        <f>IFERROR(VLOOKUP(D80,メニュー!$D$3:$E$4,2,FALSE),"")</f>
        <v/>
      </c>
      <c r="F80" s="3"/>
      <c r="G80" s="6"/>
      <c r="H80" s="3"/>
      <c r="I80" s="6" t="str">
        <f>IFERROR(IF(F80&lt;&gt;"通信機器購入なし",VLOOKUP(F80&amp;H80,メニュー!$H$30:$I$39,2,0),VLOOKUP(D80&amp;F80&amp;H80,メニュー!$H$25:$I$26,2,0)),"")</f>
        <v/>
      </c>
      <c r="J80" s="7"/>
      <c r="K80" s="7"/>
      <c r="L80" s="7"/>
      <c r="M80" s="7"/>
    </row>
    <row r="81" spans="1:13" x14ac:dyDescent="0.2">
      <c r="A81" s="6" t="str">
        <f t="shared" si="1"/>
        <v/>
      </c>
      <c r="B81" s="3"/>
      <c r="C81" s="6" t="str">
        <f>IFERROR(VLOOKUP(B81,メニュー!$B$3:$C$12,2,FALSE),"")</f>
        <v/>
      </c>
      <c r="D81" s="3"/>
      <c r="E81" s="6" t="str">
        <f>IFERROR(VLOOKUP(D81,メニュー!$D$3:$E$4,2,FALSE),"")</f>
        <v/>
      </c>
      <c r="F81" s="3"/>
      <c r="G81" s="6"/>
      <c r="H81" s="3"/>
      <c r="I81" s="6" t="str">
        <f>IFERROR(IF(F81&lt;&gt;"通信機器購入なし",VLOOKUP(F81&amp;H81,メニュー!$H$30:$I$39,2,0),VLOOKUP(D81&amp;F81&amp;H81,メニュー!$H$25:$I$26,2,0)),"")</f>
        <v/>
      </c>
      <c r="J81" s="7"/>
      <c r="K81" s="7"/>
      <c r="L81" s="7"/>
      <c r="M81" s="7"/>
    </row>
    <row r="82" spans="1:13" x14ac:dyDescent="0.2">
      <c r="A82" s="6" t="str">
        <f t="shared" si="1"/>
        <v/>
      </c>
      <c r="B82" s="3"/>
      <c r="C82" s="6" t="str">
        <f>IFERROR(VLOOKUP(B82,メニュー!$B$3:$C$12,2,FALSE),"")</f>
        <v/>
      </c>
      <c r="D82" s="3"/>
      <c r="E82" s="6" t="str">
        <f>IFERROR(VLOOKUP(D82,メニュー!$D$3:$E$4,2,FALSE),"")</f>
        <v/>
      </c>
      <c r="F82" s="3"/>
      <c r="G82" s="6"/>
      <c r="H82" s="3"/>
      <c r="I82" s="6" t="str">
        <f>IFERROR(IF(F82&lt;&gt;"通信機器購入なし",VLOOKUP(F82&amp;H82,メニュー!$H$30:$I$39,2,0),VLOOKUP(D82&amp;F82&amp;H82,メニュー!$H$25:$I$26,2,0)),"")</f>
        <v/>
      </c>
      <c r="J82" s="7"/>
      <c r="K82" s="7"/>
      <c r="L82" s="7"/>
      <c r="M82" s="7"/>
    </row>
    <row r="83" spans="1:13" x14ac:dyDescent="0.2">
      <c r="A83" s="6" t="str">
        <f t="shared" si="1"/>
        <v/>
      </c>
      <c r="B83" s="3"/>
      <c r="C83" s="6" t="str">
        <f>IFERROR(VLOOKUP(B83,メニュー!$B$3:$C$12,2,FALSE),"")</f>
        <v/>
      </c>
      <c r="D83" s="3"/>
      <c r="E83" s="6" t="str">
        <f>IFERROR(VLOOKUP(D83,メニュー!$D$3:$E$4,2,FALSE),"")</f>
        <v/>
      </c>
      <c r="F83" s="3"/>
      <c r="G83" s="6"/>
      <c r="H83" s="3"/>
      <c r="I83" s="6" t="str">
        <f>IFERROR(IF(F83&lt;&gt;"通信機器購入なし",VLOOKUP(F83&amp;H83,メニュー!$H$30:$I$39,2,0),VLOOKUP(D83&amp;F83&amp;H83,メニュー!$H$25:$I$26,2,0)),"")</f>
        <v/>
      </c>
      <c r="J83" s="7"/>
      <c r="K83" s="7"/>
      <c r="L83" s="7"/>
      <c r="M83" s="7"/>
    </row>
    <row r="84" spans="1:13" x14ac:dyDescent="0.2">
      <c r="A84" s="6" t="str">
        <f t="shared" si="1"/>
        <v/>
      </c>
      <c r="B84" s="3"/>
      <c r="C84" s="6" t="str">
        <f>IFERROR(VLOOKUP(B84,メニュー!$B$3:$C$12,2,FALSE),"")</f>
        <v/>
      </c>
      <c r="D84" s="3"/>
      <c r="E84" s="6" t="str">
        <f>IFERROR(VLOOKUP(D84,メニュー!$D$3:$E$4,2,FALSE),"")</f>
        <v/>
      </c>
      <c r="F84" s="3"/>
      <c r="G84" s="6"/>
      <c r="H84" s="3"/>
      <c r="I84" s="6" t="str">
        <f>IFERROR(IF(F84&lt;&gt;"通信機器購入なし",VLOOKUP(F84&amp;H84,メニュー!$H$30:$I$39,2,0),VLOOKUP(D84&amp;F84&amp;H84,メニュー!$H$25:$I$26,2,0)),"")</f>
        <v/>
      </c>
      <c r="J84" s="7"/>
      <c r="K84" s="7"/>
      <c r="L84" s="7"/>
      <c r="M84" s="7"/>
    </row>
    <row r="85" spans="1:13" x14ac:dyDescent="0.2">
      <c r="A85" s="6" t="str">
        <f t="shared" si="1"/>
        <v/>
      </c>
      <c r="B85" s="3"/>
      <c r="C85" s="6" t="str">
        <f>IFERROR(VLOOKUP(B85,メニュー!$B$3:$C$12,2,FALSE),"")</f>
        <v/>
      </c>
      <c r="D85" s="3"/>
      <c r="E85" s="6" t="str">
        <f>IFERROR(VLOOKUP(D85,メニュー!$D$3:$E$4,2,FALSE),"")</f>
        <v/>
      </c>
      <c r="F85" s="3"/>
      <c r="G85" s="6"/>
      <c r="H85" s="3"/>
      <c r="I85" s="6" t="str">
        <f>IFERROR(IF(F85&lt;&gt;"通信機器購入なし",VLOOKUP(F85&amp;H85,メニュー!$H$30:$I$39,2,0),VLOOKUP(D85&amp;F85&amp;H85,メニュー!$H$25:$I$26,2,0)),"")</f>
        <v/>
      </c>
      <c r="J85" s="7"/>
      <c r="K85" s="7"/>
      <c r="L85" s="7"/>
      <c r="M85" s="7"/>
    </row>
    <row r="86" spans="1:13" x14ac:dyDescent="0.2">
      <c r="A86" s="6" t="str">
        <f t="shared" si="1"/>
        <v/>
      </c>
      <c r="B86" s="3"/>
      <c r="C86" s="6" t="str">
        <f>IFERROR(VLOOKUP(B86,メニュー!$B$3:$C$12,2,FALSE),"")</f>
        <v/>
      </c>
      <c r="D86" s="3"/>
      <c r="E86" s="6" t="str">
        <f>IFERROR(VLOOKUP(D86,メニュー!$D$3:$E$4,2,FALSE),"")</f>
        <v/>
      </c>
      <c r="F86" s="3"/>
      <c r="G86" s="6"/>
      <c r="H86" s="3"/>
      <c r="I86" s="6" t="str">
        <f>IFERROR(IF(F86&lt;&gt;"通信機器購入なし",VLOOKUP(F86&amp;H86,メニュー!$H$30:$I$39,2,0),VLOOKUP(D86&amp;F86&amp;H86,メニュー!$H$25:$I$26,2,0)),"")</f>
        <v/>
      </c>
      <c r="J86" s="7"/>
      <c r="K86" s="7"/>
      <c r="L86" s="7"/>
      <c r="M86" s="7"/>
    </row>
    <row r="87" spans="1:13" x14ac:dyDescent="0.2">
      <c r="A87" s="6" t="str">
        <f t="shared" si="1"/>
        <v/>
      </c>
      <c r="B87" s="3"/>
      <c r="C87" s="6" t="str">
        <f>IFERROR(VLOOKUP(B87,メニュー!$B$3:$C$12,2,FALSE),"")</f>
        <v/>
      </c>
      <c r="D87" s="3"/>
      <c r="E87" s="6" t="str">
        <f>IFERROR(VLOOKUP(D87,メニュー!$D$3:$E$4,2,FALSE),"")</f>
        <v/>
      </c>
      <c r="F87" s="3"/>
      <c r="G87" s="6"/>
      <c r="H87" s="3"/>
      <c r="I87" s="6" t="str">
        <f>IFERROR(IF(F87&lt;&gt;"通信機器購入なし",VLOOKUP(F87&amp;H87,メニュー!$H$30:$I$39,2,0),VLOOKUP(D87&amp;F87&amp;H87,メニュー!$H$25:$I$26,2,0)),"")</f>
        <v/>
      </c>
      <c r="J87" s="7"/>
      <c r="K87" s="7"/>
      <c r="L87" s="7"/>
      <c r="M87" s="7"/>
    </row>
    <row r="88" spans="1:13" x14ac:dyDescent="0.2">
      <c r="A88" s="6" t="str">
        <f t="shared" si="1"/>
        <v/>
      </c>
      <c r="B88" s="3"/>
      <c r="C88" s="6" t="str">
        <f>IFERROR(VLOOKUP(B88,メニュー!$B$3:$C$12,2,FALSE),"")</f>
        <v/>
      </c>
      <c r="D88" s="3"/>
      <c r="E88" s="6" t="str">
        <f>IFERROR(VLOOKUP(D88,メニュー!$D$3:$E$4,2,FALSE),"")</f>
        <v/>
      </c>
      <c r="F88" s="3"/>
      <c r="G88" s="6"/>
      <c r="H88" s="3"/>
      <c r="I88" s="6" t="str">
        <f>IFERROR(IF(F88&lt;&gt;"通信機器購入なし",VLOOKUP(F88&amp;H88,メニュー!$H$30:$I$39,2,0),VLOOKUP(D88&amp;F88&amp;H88,メニュー!$H$25:$I$26,2,0)),"")</f>
        <v/>
      </c>
      <c r="J88" s="7"/>
      <c r="K88" s="7"/>
      <c r="L88" s="7"/>
      <c r="M88" s="7"/>
    </row>
    <row r="89" spans="1:13" x14ac:dyDescent="0.2">
      <c r="A89" s="6" t="str">
        <f t="shared" si="1"/>
        <v/>
      </c>
      <c r="B89" s="3"/>
      <c r="C89" s="6" t="str">
        <f>IFERROR(VLOOKUP(B89,メニュー!$B$3:$C$12,2,FALSE),"")</f>
        <v/>
      </c>
      <c r="D89" s="3"/>
      <c r="E89" s="6" t="str">
        <f>IFERROR(VLOOKUP(D89,メニュー!$D$3:$E$4,2,FALSE),"")</f>
        <v/>
      </c>
      <c r="F89" s="3"/>
      <c r="G89" s="6"/>
      <c r="H89" s="3"/>
      <c r="I89" s="6" t="str">
        <f>IFERROR(IF(F89&lt;&gt;"通信機器購入なし",VLOOKUP(F89&amp;H89,メニュー!$H$30:$I$39,2,0),VLOOKUP(D89&amp;F89&amp;H89,メニュー!$H$25:$I$26,2,0)),"")</f>
        <v/>
      </c>
      <c r="J89" s="7"/>
      <c r="K89" s="7"/>
      <c r="L89" s="7"/>
      <c r="M89" s="7"/>
    </row>
    <row r="90" spans="1:13" x14ac:dyDescent="0.2">
      <c r="A90" s="6" t="str">
        <f t="shared" si="1"/>
        <v/>
      </c>
      <c r="B90" s="3"/>
      <c r="C90" s="6" t="str">
        <f>IFERROR(VLOOKUP(B90,メニュー!$B$3:$C$12,2,FALSE),"")</f>
        <v/>
      </c>
      <c r="D90" s="3"/>
      <c r="E90" s="6" t="str">
        <f>IFERROR(VLOOKUP(D90,メニュー!$D$3:$E$4,2,FALSE),"")</f>
        <v/>
      </c>
      <c r="F90" s="3"/>
      <c r="G90" s="6"/>
      <c r="H90" s="3"/>
      <c r="I90" s="6" t="str">
        <f>IFERROR(IF(F90&lt;&gt;"通信機器購入なし",VLOOKUP(F90&amp;H90,メニュー!$H$30:$I$39,2,0),VLOOKUP(D90&amp;F90&amp;H90,メニュー!$H$25:$I$26,2,0)),"")</f>
        <v/>
      </c>
      <c r="J90" s="7"/>
      <c r="K90" s="7"/>
      <c r="L90" s="7"/>
      <c r="M90" s="7"/>
    </row>
    <row r="91" spans="1:13" x14ac:dyDescent="0.2">
      <c r="A91" s="6" t="str">
        <f t="shared" si="1"/>
        <v/>
      </c>
      <c r="B91" s="3"/>
      <c r="C91" s="6" t="str">
        <f>IFERROR(VLOOKUP(B91,メニュー!$B$3:$C$12,2,FALSE),"")</f>
        <v/>
      </c>
      <c r="D91" s="3"/>
      <c r="E91" s="6" t="str">
        <f>IFERROR(VLOOKUP(D91,メニュー!$D$3:$E$4,2,FALSE),"")</f>
        <v/>
      </c>
      <c r="F91" s="3"/>
      <c r="G91" s="6"/>
      <c r="H91" s="3"/>
      <c r="I91" s="6" t="str">
        <f>IFERROR(IF(F91&lt;&gt;"通信機器購入なし",VLOOKUP(F91&amp;H91,メニュー!$H$30:$I$39,2,0),VLOOKUP(D91&amp;F91&amp;H91,メニュー!$H$25:$I$26,2,0)),"")</f>
        <v/>
      </c>
      <c r="J91" s="7"/>
      <c r="K91" s="7"/>
      <c r="L91" s="7"/>
      <c r="M91" s="7"/>
    </row>
    <row r="92" spans="1:13" x14ac:dyDescent="0.2">
      <c r="A92" s="6" t="str">
        <f t="shared" si="1"/>
        <v/>
      </c>
      <c r="B92" s="3"/>
      <c r="C92" s="6" t="str">
        <f>IFERROR(VLOOKUP(B92,メニュー!$B$3:$C$12,2,FALSE),"")</f>
        <v/>
      </c>
      <c r="D92" s="3"/>
      <c r="E92" s="6" t="str">
        <f>IFERROR(VLOOKUP(D92,メニュー!$D$3:$E$4,2,FALSE),"")</f>
        <v/>
      </c>
      <c r="F92" s="3"/>
      <c r="G92" s="6"/>
      <c r="H92" s="3"/>
      <c r="I92" s="6" t="str">
        <f>IFERROR(IF(F92&lt;&gt;"通信機器購入なし",VLOOKUP(F92&amp;H92,メニュー!$H$30:$I$39,2,0),VLOOKUP(D92&amp;F92&amp;H92,メニュー!$H$25:$I$26,2,0)),"")</f>
        <v/>
      </c>
      <c r="J92" s="7"/>
      <c r="K92" s="7"/>
      <c r="L92" s="7"/>
      <c r="M92" s="7"/>
    </row>
    <row r="93" spans="1:13" x14ac:dyDescent="0.2">
      <c r="A93" s="6" t="str">
        <f t="shared" si="1"/>
        <v/>
      </c>
      <c r="B93" s="3"/>
      <c r="C93" s="6" t="str">
        <f>IFERROR(VLOOKUP(B93,メニュー!$B$3:$C$12,2,FALSE),"")</f>
        <v/>
      </c>
      <c r="D93" s="3"/>
      <c r="E93" s="6" t="str">
        <f>IFERROR(VLOOKUP(D93,メニュー!$D$3:$E$4,2,FALSE),"")</f>
        <v/>
      </c>
      <c r="F93" s="3"/>
      <c r="G93" s="6"/>
      <c r="H93" s="3"/>
      <c r="I93" s="6" t="str">
        <f>IFERROR(IF(F93&lt;&gt;"通信機器購入なし",VLOOKUP(F93&amp;H93,メニュー!$H$30:$I$39,2,0),VLOOKUP(D93&amp;F93&amp;H93,メニュー!$H$25:$I$26,2,0)),"")</f>
        <v/>
      </c>
      <c r="J93" s="7"/>
      <c r="K93" s="7"/>
      <c r="L93" s="7"/>
      <c r="M93" s="7"/>
    </row>
    <row r="94" spans="1:13" x14ac:dyDescent="0.2">
      <c r="A94" s="6" t="str">
        <f t="shared" si="1"/>
        <v/>
      </c>
      <c r="B94" s="3"/>
      <c r="C94" s="6" t="str">
        <f>IFERROR(VLOOKUP(B94,メニュー!$B$3:$C$12,2,FALSE),"")</f>
        <v/>
      </c>
      <c r="D94" s="3"/>
      <c r="E94" s="6" t="str">
        <f>IFERROR(VLOOKUP(D94,メニュー!$D$3:$E$4,2,FALSE),"")</f>
        <v/>
      </c>
      <c r="F94" s="3"/>
      <c r="G94" s="6"/>
      <c r="H94" s="3"/>
      <c r="I94" s="6" t="str">
        <f>IFERROR(IF(F94&lt;&gt;"通信機器購入なし",VLOOKUP(F94&amp;H94,メニュー!$H$30:$I$39,2,0),VLOOKUP(D94&amp;F94&amp;H94,メニュー!$H$25:$I$26,2,0)),"")</f>
        <v/>
      </c>
      <c r="J94" s="7"/>
      <c r="K94" s="7"/>
      <c r="L94" s="7"/>
      <c r="M94" s="7"/>
    </row>
    <row r="95" spans="1:13" x14ac:dyDescent="0.2">
      <c r="A95" s="6" t="str">
        <f t="shared" si="1"/>
        <v/>
      </c>
      <c r="B95" s="3"/>
      <c r="C95" s="6" t="str">
        <f>IFERROR(VLOOKUP(B95,メニュー!$B$3:$C$12,2,FALSE),"")</f>
        <v/>
      </c>
      <c r="D95" s="3"/>
      <c r="E95" s="6" t="str">
        <f>IFERROR(VLOOKUP(D95,メニュー!$D$3:$E$4,2,FALSE),"")</f>
        <v/>
      </c>
      <c r="F95" s="3"/>
      <c r="G95" s="6"/>
      <c r="H95" s="3"/>
      <c r="I95" s="6" t="str">
        <f>IFERROR(IF(F95&lt;&gt;"通信機器購入なし",VLOOKUP(F95&amp;H95,メニュー!$H$30:$I$39,2,0),VLOOKUP(D95&amp;F95&amp;H95,メニュー!$H$25:$I$26,2,0)),"")</f>
        <v/>
      </c>
      <c r="J95" s="7"/>
      <c r="K95" s="7"/>
      <c r="L95" s="7"/>
      <c r="M95" s="7"/>
    </row>
    <row r="96" spans="1:13" x14ac:dyDescent="0.2">
      <c r="A96" s="6" t="str">
        <f t="shared" si="1"/>
        <v/>
      </c>
      <c r="B96" s="3"/>
      <c r="C96" s="6" t="str">
        <f>IFERROR(VLOOKUP(B96,メニュー!$B$3:$C$12,2,FALSE),"")</f>
        <v/>
      </c>
      <c r="D96" s="3"/>
      <c r="E96" s="6" t="str">
        <f>IFERROR(VLOOKUP(D96,メニュー!$D$3:$E$4,2,FALSE),"")</f>
        <v/>
      </c>
      <c r="F96" s="3"/>
      <c r="G96" s="6"/>
      <c r="H96" s="3"/>
      <c r="I96" s="6" t="str">
        <f>IFERROR(IF(F96&lt;&gt;"通信機器購入なし",VLOOKUP(F96&amp;H96,メニュー!$H$30:$I$39,2,0),VLOOKUP(D96&amp;F96&amp;H96,メニュー!$H$25:$I$26,2,0)),"")</f>
        <v/>
      </c>
      <c r="J96" s="7"/>
      <c r="K96" s="7"/>
      <c r="L96" s="7"/>
      <c r="M96" s="7"/>
    </row>
    <row r="97" spans="1:13" x14ac:dyDescent="0.2">
      <c r="A97" s="6" t="str">
        <f t="shared" si="1"/>
        <v/>
      </c>
      <c r="B97" s="3"/>
      <c r="C97" s="6" t="str">
        <f>IFERROR(VLOOKUP(B97,メニュー!$B$3:$C$12,2,FALSE),"")</f>
        <v/>
      </c>
      <c r="D97" s="3"/>
      <c r="E97" s="6" t="str">
        <f>IFERROR(VLOOKUP(D97,メニュー!$D$3:$E$4,2,FALSE),"")</f>
        <v/>
      </c>
      <c r="F97" s="3"/>
      <c r="G97" s="6"/>
      <c r="H97" s="3"/>
      <c r="I97" s="6" t="str">
        <f>IFERROR(IF(F97&lt;&gt;"通信機器購入なし",VLOOKUP(F97&amp;H97,メニュー!$H$30:$I$39,2,0),VLOOKUP(D97&amp;F97&amp;H97,メニュー!$H$25:$I$26,2,0)),"")</f>
        <v/>
      </c>
      <c r="J97" s="7"/>
      <c r="K97" s="7"/>
      <c r="L97" s="7"/>
      <c r="M97" s="7"/>
    </row>
    <row r="98" spans="1:13" x14ac:dyDescent="0.2">
      <c r="A98" s="6" t="str">
        <f t="shared" si="1"/>
        <v/>
      </c>
      <c r="B98" s="3"/>
      <c r="C98" s="6" t="str">
        <f>IFERROR(VLOOKUP(B98,メニュー!$B$3:$C$12,2,FALSE),"")</f>
        <v/>
      </c>
      <c r="D98" s="3"/>
      <c r="E98" s="6" t="str">
        <f>IFERROR(VLOOKUP(D98,メニュー!$D$3:$E$4,2,FALSE),"")</f>
        <v/>
      </c>
      <c r="F98" s="3"/>
      <c r="G98" s="6"/>
      <c r="H98" s="3"/>
      <c r="I98" s="6" t="str">
        <f>IFERROR(IF(F98&lt;&gt;"通信機器購入なし",VLOOKUP(F98&amp;H98,メニュー!$H$30:$I$39,2,0),VLOOKUP(D98&amp;F98&amp;H98,メニュー!$H$25:$I$26,2,0)),"")</f>
        <v/>
      </c>
      <c r="J98" s="7"/>
      <c r="K98" s="7"/>
      <c r="L98" s="7"/>
      <c r="M98" s="7"/>
    </row>
    <row r="99" spans="1:13" x14ac:dyDescent="0.2">
      <c r="A99" s="6" t="str">
        <f t="shared" si="1"/>
        <v/>
      </c>
      <c r="B99" s="3"/>
      <c r="C99" s="6" t="str">
        <f>IFERROR(VLOOKUP(B99,メニュー!$B$3:$C$12,2,FALSE),"")</f>
        <v/>
      </c>
      <c r="D99" s="3"/>
      <c r="E99" s="6" t="str">
        <f>IFERROR(VLOOKUP(D99,メニュー!$D$3:$E$4,2,FALSE),"")</f>
        <v/>
      </c>
      <c r="F99" s="3"/>
      <c r="G99" s="6"/>
      <c r="H99" s="3"/>
      <c r="I99" s="6" t="str">
        <f>IFERROR(IF(F99&lt;&gt;"通信機器購入なし",VLOOKUP(F99&amp;H99,メニュー!$H$30:$I$39,2,0),VLOOKUP(D99&amp;F99&amp;H99,メニュー!$H$25:$I$26,2,0)),"")</f>
        <v/>
      </c>
      <c r="J99" s="7"/>
      <c r="K99" s="7"/>
      <c r="L99" s="7"/>
      <c r="M99" s="7"/>
    </row>
    <row r="100" spans="1:13" x14ac:dyDescent="0.2">
      <c r="A100" s="6" t="str">
        <f t="shared" si="1"/>
        <v/>
      </c>
      <c r="B100" s="3"/>
      <c r="C100" s="6" t="str">
        <f>IFERROR(VLOOKUP(B100,メニュー!$B$3:$C$12,2,FALSE),"")</f>
        <v/>
      </c>
      <c r="D100" s="3"/>
      <c r="E100" s="6" t="str">
        <f>IFERROR(VLOOKUP(D100,メニュー!$D$3:$E$4,2,FALSE),"")</f>
        <v/>
      </c>
      <c r="F100" s="3"/>
      <c r="G100" s="6"/>
      <c r="H100" s="3"/>
      <c r="I100" s="6" t="str">
        <f>IFERROR(IF(F100&lt;&gt;"通信機器購入なし",VLOOKUP(F100&amp;H100,メニュー!$H$30:$I$39,2,0),VLOOKUP(D100&amp;F100&amp;H100,メニュー!$H$25:$I$26,2,0)),"")</f>
        <v/>
      </c>
      <c r="J100" s="7"/>
      <c r="K100" s="7"/>
      <c r="L100" s="7"/>
      <c r="M100" s="7"/>
    </row>
    <row r="101" spans="1:13" x14ac:dyDescent="0.2">
      <c r="A101" s="6" t="str">
        <f t="shared" si="1"/>
        <v/>
      </c>
      <c r="B101" s="3"/>
      <c r="C101" s="6" t="str">
        <f>IFERROR(VLOOKUP(B101,メニュー!$B$3:$C$12,2,FALSE),"")</f>
        <v/>
      </c>
      <c r="D101" s="3"/>
      <c r="E101" s="6" t="str">
        <f>IFERROR(VLOOKUP(D101,メニュー!$D$3:$E$4,2,FALSE),"")</f>
        <v/>
      </c>
      <c r="F101" s="3"/>
      <c r="G101" s="6"/>
      <c r="H101" s="3"/>
      <c r="I101" s="6" t="str">
        <f>IFERROR(IF(F101&lt;&gt;"通信機器購入なし",VLOOKUP(F101&amp;H101,メニュー!$H$30:$I$39,2,0),VLOOKUP(D101&amp;F101&amp;H101,メニュー!$H$25:$I$26,2,0)),"")</f>
        <v/>
      </c>
      <c r="J101" s="7"/>
      <c r="K101" s="7"/>
      <c r="L101" s="7"/>
      <c r="M101" s="7"/>
    </row>
    <row r="102" spans="1:13" x14ac:dyDescent="0.2">
      <c r="A102" s="6" t="str">
        <f t="shared" si="1"/>
        <v/>
      </c>
      <c r="B102" s="3"/>
      <c r="C102" s="6" t="str">
        <f>IFERROR(VLOOKUP(B102,メニュー!$B$3:$C$12,2,FALSE),"")</f>
        <v/>
      </c>
      <c r="D102" s="3"/>
      <c r="E102" s="6" t="str">
        <f>IFERROR(VLOOKUP(D102,メニュー!$D$3:$E$4,2,FALSE),"")</f>
        <v/>
      </c>
      <c r="F102" s="3"/>
      <c r="G102" s="6"/>
      <c r="H102" s="3"/>
      <c r="I102" s="6" t="str">
        <f>IFERROR(IF(F102&lt;&gt;"通信機器購入なし",VLOOKUP(F102&amp;H102,メニュー!$H$30:$I$39,2,0),VLOOKUP(D102&amp;F102&amp;H102,メニュー!$H$25:$I$26,2,0)),"")</f>
        <v/>
      </c>
      <c r="J102" s="7"/>
      <c r="K102" s="7"/>
      <c r="L102" s="7"/>
      <c r="M102" s="7"/>
    </row>
    <row r="103" spans="1:13" x14ac:dyDescent="0.2">
      <c r="A103" s="6" t="str">
        <f t="shared" si="1"/>
        <v/>
      </c>
      <c r="B103" s="3"/>
      <c r="C103" s="6" t="str">
        <f>IFERROR(VLOOKUP(B103,メニュー!$B$3:$C$12,2,FALSE),"")</f>
        <v/>
      </c>
      <c r="D103" s="3"/>
      <c r="E103" s="6" t="str">
        <f>IFERROR(VLOOKUP(D103,メニュー!$D$3:$E$4,2,FALSE),"")</f>
        <v/>
      </c>
      <c r="F103" s="3"/>
      <c r="G103" s="6"/>
      <c r="H103" s="3"/>
      <c r="I103" s="6" t="str">
        <f>IFERROR(IF(F103&lt;&gt;"通信機器購入なし",VLOOKUP(F103&amp;H103,メニュー!$H$30:$I$39,2,0),VLOOKUP(D103&amp;F103&amp;H103,メニュー!$H$25:$I$26,2,0)),"")</f>
        <v/>
      </c>
      <c r="J103" s="7"/>
      <c r="K103" s="7"/>
      <c r="L103" s="7"/>
      <c r="M103" s="7"/>
    </row>
    <row r="104" spans="1:13" x14ac:dyDescent="0.2">
      <c r="A104" s="6" t="str">
        <f t="shared" si="1"/>
        <v/>
      </c>
      <c r="B104" s="3"/>
      <c r="C104" s="6" t="str">
        <f>IFERROR(VLOOKUP(B104,メニュー!$B$3:$C$12,2,FALSE),"")</f>
        <v/>
      </c>
      <c r="D104" s="3"/>
      <c r="E104" s="6" t="str">
        <f>IFERROR(VLOOKUP(D104,メニュー!$D$3:$E$4,2,FALSE),"")</f>
        <v/>
      </c>
      <c r="F104" s="3"/>
      <c r="G104" s="6"/>
      <c r="H104" s="3"/>
      <c r="I104" s="6" t="str">
        <f>IFERROR(IF(F104&lt;&gt;"通信機器購入なし",VLOOKUP(F104&amp;H104,メニュー!$H$30:$I$39,2,0),VLOOKUP(D104&amp;F104&amp;H104,メニュー!$H$25:$I$26,2,0)),"")</f>
        <v/>
      </c>
      <c r="J104" s="7"/>
      <c r="K104" s="7"/>
      <c r="L104" s="7"/>
      <c r="M104" s="7"/>
    </row>
    <row r="105" spans="1:13" x14ac:dyDescent="0.2">
      <c r="A105" s="6" t="str">
        <f t="shared" si="1"/>
        <v/>
      </c>
      <c r="B105" s="3"/>
      <c r="C105" s="6" t="str">
        <f>IFERROR(VLOOKUP(B105,メニュー!$B$3:$C$12,2,FALSE),"")</f>
        <v/>
      </c>
      <c r="D105" s="3"/>
      <c r="E105" s="6" t="str">
        <f>IFERROR(VLOOKUP(D105,メニュー!$D$3:$E$4,2,FALSE),"")</f>
        <v/>
      </c>
      <c r="F105" s="3"/>
      <c r="G105" s="6"/>
      <c r="H105" s="3"/>
      <c r="I105" s="6" t="str">
        <f>IFERROR(IF(F105&lt;&gt;"通信機器購入なし",VLOOKUP(F105&amp;H105,メニュー!$H$30:$I$39,2,0),VLOOKUP(D105&amp;F105&amp;H105,メニュー!$H$25:$I$26,2,0)),"")</f>
        <v/>
      </c>
      <c r="J105" s="7"/>
      <c r="K105" s="7"/>
      <c r="L105" s="7"/>
      <c r="M105" s="7"/>
    </row>
    <row r="106" spans="1:13" x14ac:dyDescent="0.2">
      <c r="A106" s="6" t="str">
        <f t="shared" si="1"/>
        <v/>
      </c>
      <c r="B106" s="3"/>
      <c r="C106" s="6" t="str">
        <f>IFERROR(VLOOKUP(B106,メニュー!$B$3:$C$12,2,FALSE),"")</f>
        <v/>
      </c>
      <c r="D106" s="3"/>
      <c r="E106" s="6" t="str">
        <f>IFERROR(VLOOKUP(D106,メニュー!$D$3:$E$4,2,FALSE),"")</f>
        <v/>
      </c>
      <c r="F106" s="3"/>
      <c r="G106" s="6"/>
      <c r="H106" s="3"/>
      <c r="I106" s="6" t="str">
        <f>IFERROR(IF(F106&lt;&gt;"通信機器購入なし",VLOOKUP(F106&amp;H106,メニュー!$H$30:$I$39,2,0),VLOOKUP(D106&amp;F106&amp;H106,メニュー!$H$25:$I$26,2,0)),"")</f>
        <v/>
      </c>
      <c r="J106" s="7"/>
      <c r="K106" s="7"/>
      <c r="L106" s="7"/>
      <c r="M106" s="7"/>
    </row>
    <row r="107" spans="1:13" x14ac:dyDescent="0.2">
      <c r="A107" s="6" t="str">
        <f t="shared" si="1"/>
        <v/>
      </c>
      <c r="B107" s="3"/>
      <c r="C107" s="6" t="str">
        <f>IFERROR(VLOOKUP(B107,メニュー!$B$3:$C$12,2,FALSE),"")</f>
        <v/>
      </c>
      <c r="D107" s="3"/>
      <c r="E107" s="6" t="str">
        <f>IFERROR(VLOOKUP(D107,メニュー!$D$3:$E$4,2,FALSE),"")</f>
        <v/>
      </c>
      <c r="F107" s="3"/>
      <c r="G107" s="6"/>
      <c r="H107" s="3"/>
      <c r="I107" s="6" t="str">
        <f>IFERROR(IF(F107&lt;&gt;"通信機器購入なし",VLOOKUP(F107&amp;H107,メニュー!$H$30:$I$39,2,0),VLOOKUP(D107&amp;F107&amp;H107,メニュー!$H$25:$I$26,2,0)),"")</f>
        <v/>
      </c>
      <c r="J107" s="7"/>
      <c r="K107" s="7"/>
      <c r="L107" s="7"/>
      <c r="M107" s="7"/>
    </row>
    <row r="108" spans="1:13" x14ac:dyDescent="0.2">
      <c r="A108" s="6" t="str">
        <f t="shared" si="1"/>
        <v/>
      </c>
      <c r="B108" s="3"/>
      <c r="C108" s="6" t="str">
        <f>IFERROR(VLOOKUP(B108,メニュー!$B$3:$C$12,2,FALSE),"")</f>
        <v/>
      </c>
      <c r="D108" s="3"/>
      <c r="E108" s="6" t="str">
        <f>IFERROR(VLOOKUP(D108,メニュー!$D$3:$E$4,2,FALSE),"")</f>
        <v/>
      </c>
      <c r="F108" s="3"/>
      <c r="G108" s="6"/>
      <c r="H108" s="3"/>
      <c r="I108" s="6" t="str">
        <f>IFERROR(IF(F108&lt;&gt;"通信機器購入なし",VLOOKUP(F108&amp;H108,メニュー!$H$30:$I$39,2,0),VLOOKUP(D108&amp;F108&amp;H108,メニュー!$H$25:$I$26,2,0)),"")</f>
        <v/>
      </c>
      <c r="J108" s="7"/>
      <c r="K108" s="7"/>
      <c r="L108" s="7"/>
      <c r="M108" s="7"/>
    </row>
    <row r="109" spans="1:13" x14ac:dyDescent="0.2">
      <c r="A109" s="6" t="str">
        <f t="shared" si="1"/>
        <v/>
      </c>
      <c r="B109" s="3"/>
      <c r="C109" s="6" t="str">
        <f>IFERROR(VLOOKUP(B109,メニュー!$B$3:$C$12,2,FALSE),"")</f>
        <v/>
      </c>
      <c r="D109" s="3"/>
      <c r="E109" s="6" t="str">
        <f>IFERROR(VLOOKUP(D109,メニュー!$D$3:$E$4,2,FALSE),"")</f>
        <v/>
      </c>
      <c r="F109" s="3"/>
      <c r="G109" s="6"/>
      <c r="H109" s="3"/>
      <c r="I109" s="6" t="str">
        <f>IFERROR(IF(F109&lt;&gt;"通信機器購入なし",VLOOKUP(F109&amp;H109,メニュー!$H$30:$I$39,2,0),VLOOKUP(D109&amp;F109&amp;H109,メニュー!$H$25:$I$26,2,0)),"")</f>
        <v/>
      </c>
      <c r="J109" s="7"/>
      <c r="K109" s="7"/>
      <c r="L109" s="7"/>
      <c r="M109" s="7"/>
    </row>
    <row r="110" spans="1:13" x14ac:dyDescent="0.2">
      <c r="A110" s="6" t="str">
        <f t="shared" si="1"/>
        <v/>
      </c>
      <c r="B110" s="3"/>
      <c r="C110" s="6" t="str">
        <f>IFERROR(VLOOKUP(B110,メニュー!$B$3:$C$12,2,FALSE),"")</f>
        <v/>
      </c>
      <c r="D110" s="3"/>
      <c r="E110" s="6" t="str">
        <f>IFERROR(VLOOKUP(D110,メニュー!$D$3:$E$4,2,FALSE),"")</f>
        <v/>
      </c>
      <c r="F110" s="3"/>
      <c r="G110" s="6"/>
      <c r="H110" s="3"/>
      <c r="I110" s="6" t="str">
        <f>IFERROR(IF(F110&lt;&gt;"通信機器購入なし",VLOOKUP(F110&amp;H110,メニュー!$H$30:$I$39,2,0),VLOOKUP(D110&amp;F110&amp;H110,メニュー!$H$25:$I$26,2,0)),"")</f>
        <v/>
      </c>
      <c r="J110" s="7"/>
      <c r="K110" s="7"/>
      <c r="L110" s="7"/>
      <c r="M110" s="7"/>
    </row>
    <row r="111" spans="1:13" x14ac:dyDescent="0.2">
      <c r="A111" s="6" t="str">
        <f t="shared" si="1"/>
        <v/>
      </c>
      <c r="B111" s="3"/>
      <c r="C111" s="6" t="str">
        <f>IFERROR(VLOOKUP(B111,メニュー!$B$3:$C$12,2,FALSE),"")</f>
        <v/>
      </c>
      <c r="D111" s="3"/>
      <c r="E111" s="6" t="str">
        <f>IFERROR(VLOOKUP(D111,メニュー!$D$3:$E$4,2,FALSE),"")</f>
        <v/>
      </c>
      <c r="F111" s="3"/>
      <c r="G111" s="6"/>
      <c r="H111" s="3"/>
      <c r="I111" s="6" t="str">
        <f>IFERROR(IF(F111&lt;&gt;"通信機器購入なし",VLOOKUP(F111&amp;H111,メニュー!$H$30:$I$39,2,0),VLOOKUP(D111&amp;F111&amp;H111,メニュー!$H$25:$I$26,2,0)),"")</f>
        <v/>
      </c>
      <c r="J111" s="7"/>
      <c r="K111" s="7"/>
      <c r="L111" s="7"/>
      <c r="M111" s="7"/>
    </row>
    <row r="112" spans="1:13" x14ac:dyDescent="0.2">
      <c r="A112" s="6" t="str">
        <f t="shared" si="1"/>
        <v/>
      </c>
      <c r="B112" s="3"/>
      <c r="C112" s="6" t="str">
        <f>IFERROR(VLOOKUP(B112,メニュー!$B$3:$C$12,2,FALSE),"")</f>
        <v/>
      </c>
      <c r="D112" s="3"/>
      <c r="E112" s="6" t="str">
        <f>IFERROR(VLOOKUP(D112,メニュー!$D$3:$E$4,2,FALSE),"")</f>
        <v/>
      </c>
      <c r="F112" s="3"/>
      <c r="G112" s="6"/>
      <c r="H112" s="3"/>
      <c r="I112" s="6" t="str">
        <f>IFERROR(IF(F112&lt;&gt;"通信機器購入なし",VLOOKUP(F112&amp;H112,メニュー!$H$30:$I$39,2,0),VLOOKUP(D112&amp;F112&amp;H112,メニュー!$H$25:$I$26,2,0)),"")</f>
        <v/>
      </c>
      <c r="J112" s="7"/>
      <c r="K112" s="7"/>
      <c r="L112" s="7"/>
      <c r="M112" s="7"/>
    </row>
    <row r="113" spans="1:13" x14ac:dyDescent="0.2">
      <c r="A113" s="6" t="str">
        <f t="shared" si="1"/>
        <v/>
      </c>
      <c r="B113" s="3"/>
      <c r="C113" s="6" t="str">
        <f>IFERROR(VLOOKUP(B113,メニュー!$B$3:$C$12,2,FALSE),"")</f>
        <v/>
      </c>
      <c r="D113" s="3"/>
      <c r="E113" s="6" t="str">
        <f>IFERROR(VLOOKUP(D113,メニュー!$D$3:$E$4,2,FALSE),"")</f>
        <v/>
      </c>
      <c r="F113" s="3"/>
      <c r="G113" s="6"/>
      <c r="H113" s="3"/>
      <c r="I113" s="6" t="str">
        <f>IFERROR(IF(F113&lt;&gt;"通信機器購入なし",VLOOKUP(F113&amp;H113,メニュー!$H$30:$I$39,2,0),VLOOKUP(D113&amp;F113&amp;H113,メニュー!$H$25:$I$26,2,0)),"")</f>
        <v/>
      </c>
      <c r="J113" s="7"/>
      <c r="K113" s="7"/>
      <c r="L113" s="7"/>
      <c r="M113" s="7"/>
    </row>
    <row r="114" spans="1:13" x14ac:dyDescent="0.2">
      <c r="A114" s="6" t="str">
        <f t="shared" si="1"/>
        <v/>
      </c>
      <c r="B114" s="3"/>
      <c r="C114" s="6" t="str">
        <f>IFERROR(VLOOKUP(B114,メニュー!$B$3:$C$12,2,FALSE),"")</f>
        <v/>
      </c>
      <c r="D114" s="3"/>
      <c r="E114" s="6" t="str">
        <f>IFERROR(VLOOKUP(D114,メニュー!$D$3:$E$4,2,FALSE),"")</f>
        <v/>
      </c>
      <c r="F114" s="3"/>
      <c r="G114" s="6"/>
      <c r="H114" s="3"/>
      <c r="I114" s="6" t="str">
        <f>IFERROR(IF(F114&lt;&gt;"通信機器購入なし",VLOOKUP(F114&amp;H114,メニュー!$H$30:$I$39,2,0),VLOOKUP(D114&amp;F114&amp;H114,メニュー!$H$25:$I$26,2,0)),"")</f>
        <v/>
      </c>
      <c r="J114" s="7"/>
      <c r="K114" s="7"/>
      <c r="L114" s="7"/>
      <c r="M114" s="7"/>
    </row>
    <row r="115" spans="1:13" x14ac:dyDescent="0.2">
      <c r="A115" s="6" t="str">
        <f t="shared" si="1"/>
        <v/>
      </c>
      <c r="B115" s="3"/>
      <c r="C115" s="6" t="str">
        <f>IFERROR(VLOOKUP(B115,メニュー!$B$3:$C$12,2,FALSE),"")</f>
        <v/>
      </c>
      <c r="D115" s="3"/>
      <c r="E115" s="6" t="str">
        <f>IFERROR(VLOOKUP(D115,メニュー!$D$3:$E$4,2,FALSE),"")</f>
        <v/>
      </c>
      <c r="F115" s="3"/>
      <c r="G115" s="6"/>
      <c r="H115" s="3"/>
      <c r="I115" s="6" t="str">
        <f>IFERROR(IF(F115&lt;&gt;"通信機器購入なし",VLOOKUP(F115&amp;H115,メニュー!$H$30:$I$39,2,0),VLOOKUP(D115&amp;F115&amp;H115,メニュー!$H$25:$I$26,2,0)),"")</f>
        <v/>
      </c>
      <c r="J115" s="7"/>
      <c r="K115" s="7"/>
      <c r="L115" s="7"/>
      <c r="M115" s="7"/>
    </row>
    <row r="116" spans="1:13" x14ac:dyDescent="0.2">
      <c r="A116" s="6" t="str">
        <f t="shared" si="1"/>
        <v/>
      </c>
      <c r="B116" s="3"/>
      <c r="C116" s="6" t="str">
        <f>IFERROR(VLOOKUP(B116,メニュー!$B$3:$C$12,2,FALSE),"")</f>
        <v/>
      </c>
      <c r="D116" s="3"/>
      <c r="E116" s="6" t="str">
        <f>IFERROR(VLOOKUP(D116,メニュー!$D$3:$E$4,2,FALSE),"")</f>
        <v/>
      </c>
      <c r="F116" s="3"/>
      <c r="G116" s="6"/>
      <c r="H116" s="3"/>
      <c r="I116" s="6" t="str">
        <f>IFERROR(IF(F116&lt;&gt;"通信機器購入なし",VLOOKUP(F116&amp;H116,メニュー!$H$30:$I$39,2,0),VLOOKUP(D116&amp;F116&amp;H116,メニュー!$H$25:$I$26,2,0)),"")</f>
        <v/>
      </c>
      <c r="J116" s="7"/>
      <c r="K116" s="7"/>
      <c r="L116" s="7"/>
      <c r="M116" s="7"/>
    </row>
    <row r="117" spans="1:13" x14ac:dyDescent="0.2">
      <c r="A117" s="6" t="str">
        <f t="shared" si="1"/>
        <v/>
      </c>
      <c r="B117" s="3"/>
      <c r="C117" s="6" t="str">
        <f>IFERROR(VLOOKUP(B117,メニュー!$B$3:$C$12,2,FALSE),"")</f>
        <v/>
      </c>
      <c r="D117" s="3"/>
      <c r="E117" s="6" t="str">
        <f>IFERROR(VLOOKUP(D117,メニュー!$D$3:$E$4,2,FALSE),"")</f>
        <v/>
      </c>
      <c r="F117" s="3"/>
      <c r="G117" s="6"/>
      <c r="H117" s="3"/>
      <c r="I117" s="6" t="str">
        <f>IFERROR(IF(F117&lt;&gt;"通信機器購入なし",VLOOKUP(F117&amp;H117,メニュー!$H$30:$I$39,2,0),VLOOKUP(D117&amp;F117&amp;H117,メニュー!$H$25:$I$26,2,0)),"")</f>
        <v/>
      </c>
      <c r="J117" s="7"/>
      <c r="K117" s="7"/>
      <c r="L117" s="7"/>
      <c r="M117" s="7"/>
    </row>
    <row r="118" spans="1:13" x14ac:dyDescent="0.2">
      <c r="A118" s="6" t="str">
        <f t="shared" si="1"/>
        <v/>
      </c>
      <c r="B118" s="3"/>
      <c r="C118" s="6" t="str">
        <f>IFERROR(VLOOKUP(B118,メニュー!$B$3:$C$12,2,FALSE),"")</f>
        <v/>
      </c>
      <c r="D118" s="3"/>
      <c r="E118" s="6" t="str">
        <f>IFERROR(VLOOKUP(D118,メニュー!$D$3:$E$4,2,FALSE),"")</f>
        <v/>
      </c>
      <c r="F118" s="3"/>
      <c r="G118" s="6"/>
      <c r="H118" s="3"/>
      <c r="I118" s="6" t="str">
        <f>IFERROR(IF(F118&lt;&gt;"通信機器購入なし",VLOOKUP(F118&amp;H118,メニュー!$H$30:$I$39,2,0),VLOOKUP(D118&amp;F118&amp;H118,メニュー!$H$25:$I$26,2,0)),"")</f>
        <v/>
      </c>
      <c r="J118" s="7"/>
      <c r="K118" s="7"/>
      <c r="L118" s="7"/>
      <c r="M118" s="7"/>
    </row>
    <row r="119" spans="1:13" x14ac:dyDescent="0.2">
      <c r="A119" s="6" t="str">
        <f t="shared" si="1"/>
        <v/>
      </c>
      <c r="B119" s="3"/>
      <c r="C119" s="6" t="str">
        <f>IFERROR(VLOOKUP(B119,メニュー!$B$3:$C$12,2,FALSE),"")</f>
        <v/>
      </c>
      <c r="D119" s="3"/>
      <c r="E119" s="6" t="str">
        <f>IFERROR(VLOOKUP(D119,メニュー!$D$3:$E$4,2,FALSE),"")</f>
        <v/>
      </c>
      <c r="F119" s="3"/>
      <c r="G119" s="6"/>
      <c r="H119" s="3"/>
      <c r="I119" s="6" t="str">
        <f>IFERROR(IF(F119&lt;&gt;"通信機器購入なし",VLOOKUP(F119&amp;H119,メニュー!$H$30:$I$39,2,0),VLOOKUP(D119&amp;F119&amp;H119,メニュー!$H$25:$I$26,2,0)),"")</f>
        <v/>
      </c>
      <c r="J119" s="7"/>
      <c r="K119" s="7"/>
      <c r="L119" s="7"/>
      <c r="M119" s="7"/>
    </row>
    <row r="120" spans="1:13" x14ac:dyDescent="0.2">
      <c r="A120" s="6" t="str">
        <f t="shared" si="1"/>
        <v/>
      </c>
      <c r="B120" s="3"/>
      <c r="C120" s="6" t="str">
        <f>IFERROR(VLOOKUP(B120,メニュー!$B$3:$C$12,2,FALSE),"")</f>
        <v/>
      </c>
      <c r="D120" s="3"/>
      <c r="E120" s="6" t="str">
        <f>IFERROR(VLOOKUP(D120,メニュー!$D$3:$E$4,2,FALSE),"")</f>
        <v/>
      </c>
      <c r="F120" s="3"/>
      <c r="G120" s="6"/>
      <c r="H120" s="3"/>
      <c r="I120" s="6" t="str">
        <f>IFERROR(IF(F120&lt;&gt;"通信機器購入なし",VLOOKUP(F120&amp;H120,メニュー!$H$30:$I$39,2,0),VLOOKUP(D120&amp;F120&amp;H120,メニュー!$H$25:$I$26,2,0)),"")</f>
        <v/>
      </c>
      <c r="J120" s="7"/>
      <c r="K120" s="7"/>
      <c r="L120" s="7"/>
      <c r="M120" s="7"/>
    </row>
    <row r="121" spans="1:13" x14ac:dyDescent="0.2">
      <c r="A121" s="6" t="str">
        <f t="shared" si="1"/>
        <v/>
      </c>
      <c r="B121" s="3"/>
      <c r="C121" s="6" t="str">
        <f>IFERROR(VLOOKUP(B121,メニュー!$B$3:$C$12,2,FALSE),"")</f>
        <v/>
      </c>
      <c r="D121" s="3"/>
      <c r="E121" s="6" t="str">
        <f>IFERROR(VLOOKUP(D121,メニュー!$D$3:$E$4,2,FALSE),"")</f>
        <v/>
      </c>
      <c r="F121" s="3"/>
      <c r="G121" s="6"/>
      <c r="H121" s="3"/>
      <c r="I121" s="6" t="str">
        <f>IFERROR(IF(F121&lt;&gt;"通信機器購入なし",VLOOKUP(F121&amp;H121,メニュー!$H$30:$I$39,2,0),VLOOKUP(D121&amp;F121&amp;H121,メニュー!$H$25:$I$26,2,0)),"")</f>
        <v/>
      </c>
      <c r="J121" s="7"/>
      <c r="K121" s="7"/>
      <c r="L121" s="7"/>
      <c r="M121" s="7"/>
    </row>
    <row r="122" spans="1:13" x14ac:dyDescent="0.2">
      <c r="A122" s="6" t="str">
        <f t="shared" si="1"/>
        <v/>
      </c>
      <c r="B122" s="3"/>
      <c r="C122" s="6" t="str">
        <f>IFERROR(VLOOKUP(B122,メニュー!$B$3:$C$12,2,FALSE),"")</f>
        <v/>
      </c>
      <c r="D122" s="3"/>
      <c r="E122" s="6" t="str">
        <f>IFERROR(VLOOKUP(D122,メニュー!$D$3:$E$4,2,FALSE),"")</f>
        <v/>
      </c>
      <c r="F122" s="3"/>
      <c r="G122" s="6"/>
      <c r="H122" s="3"/>
      <c r="I122" s="6" t="str">
        <f>IFERROR(IF(F122&lt;&gt;"通信機器購入なし",VLOOKUP(F122&amp;H122,メニュー!$H$30:$I$39,2,0),VLOOKUP(D122&amp;F122&amp;H122,メニュー!$H$25:$I$26,2,0)),"")</f>
        <v/>
      </c>
      <c r="J122" s="7"/>
      <c r="K122" s="7"/>
      <c r="L122" s="7"/>
      <c r="M122" s="7"/>
    </row>
    <row r="123" spans="1:13" x14ac:dyDescent="0.2">
      <c r="A123" s="6" t="str">
        <f t="shared" si="1"/>
        <v/>
      </c>
      <c r="B123" s="3"/>
      <c r="C123" s="6" t="str">
        <f>IFERROR(VLOOKUP(B123,メニュー!$B$3:$C$12,2,FALSE),"")</f>
        <v/>
      </c>
      <c r="D123" s="3"/>
      <c r="E123" s="6" t="str">
        <f>IFERROR(VLOOKUP(D123,メニュー!$D$3:$E$4,2,FALSE),"")</f>
        <v/>
      </c>
      <c r="F123" s="3"/>
      <c r="G123" s="6"/>
      <c r="H123" s="3"/>
      <c r="I123" s="6" t="str">
        <f>IFERROR(IF(F123&lt;&gt;"通信機器購入なし",VLOOKUP(F123&amp;H123,メニュー!$H$30:$I$39,2,0),VLOOKUP(D123&amp;F123&amp;H123,メニュー!$H$25:$I$26,2,0)),"")</f>
        <v/>
      </c>
      <c r="J123" s="7"/>
      <c r="K123" s="7"/>
      <c r="L123" s="7"/>
      <c r="M123" s="7"/>
    </row>
    <row r="124" spans="1:13" x14ac:dyDescent="0.2">
      <c r="A124" s="6" t="str">
        <f t="shared" si="1"/>
        <v/>
      </c>
      <c r="B124" s="3"/>
      <c r="C124" s="6" t="str">
        <f>IFERROR(VLOOKUP(B124,メニュー!$B$3:$C$12,2,FALSE),"")</f>
        <v/>
      </c>
      <c r="D124" s="3"/>
      <c r="E124" s="6" t="str">
        <f>IFERROR(VLOOKUP(D124,メニュー!$D$3:$E$4,2,FALSE),"")</f>
        <v/>
      </c>
      <c r="F124" s="3"/>
      <c r="G124" s="6"/>
      <c r="H124" s="3"/>
      <c r="I124" s="6" t="str">
        <f>IFERROR(IF(F124&lt;&gt;"通信機器購入なし",VLOOKUP(F124&amp;H124,メニュー!$H$30:$I$39,2,0),VLOOKUP(D124&amp;F124&amp;H124,メニュー!$H$25:$I$26,2,0)),"")</f>
        <v/>
      </c>
      <c r="J124" s="7"/>
      <c r="K124" s="7"/>
      <c r="L124" s="7"/>
      <c r="M124" s="7"/>
    </row>
    <row r="125" spans="1:13" x14ac:dyDescent="0.2">
      <c r="A125" s="6" t="str">
        <f t="shared" si="1"/>
        <v/>
      </c>
      <c r="B125" s="3"/>
      <c r="C125" s="6" t="str">
        <f>IFERROR(VLOOKUP(B125,メニュー!$B$3:$C$12,2,FALSE),"")</f>
        <v/>
      </c>
      <c r="D125" s="3"/>
      <c r="E125" s="6" t="str">
        <f>IFERROR(VLOOKUP(D125,メニュー!$D$3:$E$4,2,FALSE),"")</f>
        <v/>
      </c>
      <c r="F125" s="3"/>
      <c r="G125" s="6"/>
      <c r="H125" s="3"/>
      <c r="I125" s="6" t="str">
        <f>IFERROR(IF(F125&lt;&gt;"通信機器購入なし",VLOOKUP(F125&amp;H125,メニュー!$H$30:$I$39,2,0),VLOOKUP(D125&amp;F125&amp;H125,メニュー!$H$25:$I$26,2,0)),"")</f>
        <v/>
      </c>
      <c r="J125" s="7"/>
      <c r="K125" s="7"/>
      <c r="L125" s="7"/>
      <c r="M125" s="7"/>
    </row>
    <row r="126" spans="1:13" x14ac:dyDescent="0.2">
      <c r="A126" s="6" t="str">
        <f t="shared" si="1"/>
        <v/>
      </c>
      <c r="B126" s="3"/>
      <c r="C126" s="6" t="str">
        <f>IFERROR(VLOOKUP(B126,メニュー!$B$3:$C$12,2,FALSE),"")</f>
        <v/>
      </c>
      <c r="D126" s="3"/>
      <c r="E126" s="6" t="str">
        <f>IFERROR(VLOOKUP(D126,メニュー!$D$3:$E$4,2,FALSE),"")</f>
        <v/>
      </c>
      <c r="F126" s="3"/>
      <c r="G126" s="6"/>
      <c r="H126" s="3"/>
      <c r="I126" s="6" t="str">
        <f>IFERROR(IF(F126&lt;&gt;"通信機器購入なし",VLOOKUP(F126&amp;H126,メニュー!$H$30:$I$39,2,0),VLOOKUP(D126&amp;F126&amp;H126,メニュー!$H$25:$I$26,2,0)),"")</f>
        <v/>
      </c>
      <c r="J126" s="7"/>
      <c r="K126" s="7"/>
      <c r="L126" s="7"/>
      <c r="M126" s="7"/>
    </row>
    <row r="127" spans="1:13" x14ac:dyDescent="0.2">
      <c r="A127" s="6" t="str">
        <f t="shared" si="1"/>
        <v/>
      </c>
      <c r="B127" s="3"/>
      <c r="C127" s="6" t="str">
        <f>IFERROR(VLOOKUP(B127,メニュー!$B$3:$C$12,2,FALSE),"")</f>
        <v/>
      </c>
      <c r="D127" s="3"/>
      <c r="E127" s="6" t="str">
        <f>IFERROR(VLOOKUP(D127,メニュー!$D$3:$E$4,2,FALSE),"")</f>
        <v/>
      </c>
      <c r="F127" s="3"/>
      <c r="G127" s="6"/>
      <c r="H127" s="3"/>
      <c r="I127" s="6" t="str">
        <f>IFERROR(IF(F127&lt;&gt;"通信機器購入なし",VLOOKUP(F127&amp;H127,メニュー!$H$30:$I$39,2,0),VLOOKUP(D127&amp;F127&amp;H127,メニュー!$H$25:$I$26,2,0)),"")</f>
        <v/>
      </c>
      <c r="J127" s="7"/>
      <c r="K127" s="7"/>
      <c r="L127" s="7"/>
      <c r="M127" s="7"/>
    </row>
    <row r="128" spans="1:13" x14ac:dyDescent="0.2">
      <c r="A128" s="6" t="str">
        <f t="shared" si="1"/>
        <v/>
      </c>
      <c r="B128" s="3"/>
      <c r="C128" s="6" t="str">
        <f>IFERROR(VLOOKUP(B128,メニュー!$B$3:$C$12,2,FALSE),"")</f>
        <v/>
      </c>
      <c r="D128" s="3"/>
      <c r="E128" s="6" t="str">
        <f>IFERROR(VLOOKUP(D128,メニュー!$D$3:$E$4,2,FALSE),"")</f>
        <v/>
      </c>
      <c r="F128" s="3"/>
      <c r="G128" s="6"/>
      <c r="H128" s="3"/>
      <c r="I128" s="6" t="str">
        <f>IFERROR(IF(F128&lt;&gt;"通信機器購入なし",VLOOKUP(F128&amp;H128,メニュー!$H$30:$I$39,2,0),VLOOKUP(D128&amp;F128&amp;H128,メニュー!$H$25:$I$26,2,0)),"")</f>
        <v/>
      </c>
      <c r="J128" s="7"/>
      <c r="K128" s="7"/>
      <c r="L128" s="7"/>
      <c r="M128" s="7"/>
    </row>
    <row r="129" spans="1:13" x14ac:dyDescent="0.2">
      <c r="A129" s="6" t="str">
        <f t="shared" si="1"/>
        <v/>
      </c>
      <c r="B129" s="3"/>
      <c r="C129" s="6" t="str">
        <f>IFERROR(VLOOKUP(B129,メニュー!$B$3:$C$12,2,FALSE),"")</f>
        <v/>
      </c>
      <c r="D129" s="3"/>
      <c r="E129" s="6" t="str">
        <f>IFERROR(VLOOKUP(D129,メニュー!$D$3:$E$4,2,FALSE),"")</f>
        <v/>
      </c>
      <c r="F129" s="3"/>
      <c r="G129" s="6"/>
      <c r="H129" s="3"/>
      <c r="I129" s="6" t="str">
        <f>IFERROR(IF(F129&lt;&gt;"通信機器購入なし",VLOOKUP(F129&amp;H129,メニュー!$H$30:$I$39,2,0),VLOOKUP(D129&amp;F129&amp;H129,メニュー!$H$25:$I$26,2,0)),"")</f>
        <v/>
      </c>
      <c r="J129" s="7"/>
      <c r="K129" s="7"/>
      <c r="L129" s="7"/>
      <c r="M129" s="7"/>
    </row>
    <row r="130" spans="1:13" x14ac:dyDescent="0.2">
      <c r="A130" s="6" t="str">
        <f t="shared" si="1"/>
        <v/>
      </c>
      <c r="B130" s="3"/>
      <c r="C130" s="6" t="str">
        <f>IFERROR(VLOOKUP(B130,メニュー!$B$3:$C$12,2,FALSE),"")</f>
        <v/>
      </c>
      <c r="D130" s="3"/>
      <c r="E130" s="6" t="str">
        <f>IFERROR(VLOOKUP(D130,メニュー!$D$3:$E$4,2,FALSE),"")</f>
        <v/>
      </c>
      <c r="F130" s="3"/>
      <c r="G130" s="6"/>
      <c r="H130" s="3"/>
      <c r="I130" s="6" t="str">
        <f>IFERROR(IF(F130&lt;&gt;"通信機器購入なし",VLOOKUP(F130&amp;H130,メニュー!$H$30:$I$39,2,0),VLOOKUP(D130&amp;F130&amp;H130,メニュー!$H$25:$I$26,2,0)),"")</f>
        <v/>
      </c>
      <c r="J130" s="7"/>
      <c r="K130" s="7"/>
      <c r="L130" s="7"/>
      <c r="M130" s="7"/>
    </row>
    <row r="131" spans="1:13" x14ac:dyDescent="0.2">
      <c r="A131" s="6" t="str">
        <f t="shared" si="1"/>
        <v/>
      </c>
      <c r="B131" s="3"/>
      <c r="C131" s="6" t="str">
        <f>IFERROR(VLOOKUP(B131,メニュー!$B$3:$C$12,2,FALSE),"")</f>
        <v/>
      </c>
      <c r="D131" s="3"/>
      <c r="E131" s="6" t="str">
        <f>IFERROR(VLOOKUP(D131,メニュー!$D$3:$E$4,2,FALSE),"")</f>
        <v/>
      </c>
      <c r="F131" s="3"/>
      <c r="G131" s="6"/>
      <c r="H131" s="3"/>
      <c r="I131" s="6" t="str">
        <f>IFERROR(IF(F131&lt;&gt;"通信機器購入なし",VLOOKUP(F131&amp;H131,メニュー!$H$30:$I$39,2,0),VLOOKUP(D131&amp;F131&amp;H131,メニュー!$H$25:$I$26,2,0)),"")</f>
        <v/>
      </c>
      <c r="J131" s="7"/>
      <c r="K131" s="7"/>
      <c r="L131" s="7"/>
      <c r="M131" s="7"/>
    </row>
    <row r="132" spans="1:13" x14ac:dyDescent="0.2">
      <c r="A132" s="6" t="str">
        <f t="shared" ref="A132:A195" si="2">IF(B132="","",ROW()-1)</f>
        <v/>
      </c>
      <c r="B132" s="3"/>
      <c r="C132" s="6" t="str">
        <f>IFERROR(VLOOKUP(B132,メニュー!$B$3:$C$12,2,FALSE),"")</f>
        <v/>
      </c>
      <c r="D132" s="3"/>
      <c r="E132" s="6" t="str">
        <f>IFERROR(VLOOKUP(D132,メニュー!$D$3:$E$4,2,FALSE),"")</f>
        <v/>
      </c>
      <c r="F132" s="3"/>
      <c r="G132" s="6"/>
      <c r="H132" s="3"/>
      <c r="I132" s="6" t="str">
        <f>IFERROR(IF(F132&lt;&gt;"通信機器購入なし",VLOOKUP(F132&amp;H132,メニュー!$H$30:$I$39,2,0),VLOOKUP(D132&amp;F132&amp;H132,メニュー!$H$25:$I$26,2,0)),"")</f>
        <v/>
      </c>
      <c r="J132" s="7"/>
      <c r="K132" s="7"/>
      <c r="L132" s="7"/>
      <c r="M132" s="7"/>
    </row>
    <row r="133" spans="1:13" x14ac:dyDescent="0.2">
      <c r="A133" s="6" t="str">
        <f t="shared" si="2"/>
        <v/>
      </c>
      <c r="B133" s="3"/>
      <c r="C133" s="6" t="str">
        <f>IFERROR(VLOOKUP(B133,メニュー!$B$3:$C$12,2,FALSE),"")</f>
        <v/>
      </c>
      <c r="D133" s="3"/>
      <c r="E133" s="6" t="str">
        <f>IFERROR(VLOOKUP(D133,メニュー!$D$3:$E$4,2,FALSE),"")</f>
        <v/>
      </c>
      <c r="F133" s="3"/>
      <c r="G133" s="6"/>
      <c r="H133" s="3"/>
      <c r="I133" s="6" t="str">
        <f>IFERROR(IF(F133&lt;&gt;"通信機器購入なし",VLOOKUP(F133&amp;H133,メニュー!$H$30:$I$39,2,0),VLOOKUP(D133&amp;F133&amp;H133,メニュー!$H$25:$I$26,2,0)),"")</f>
        <v/>
      </c>
      <c r="J133" s="7"/>
      <c r="K133" s="7"/>
      <c r="L133" s="7"/>
      <c r="M133" s="7"/>
    </row>
    <row r="134" spans="1:13" x14ac:dyDescent="0.2">
      <c r="A134" s="6" t="str">
        <f t="shared" si="2"/>
        <v/>
      </c>
      <c r="B134" s="3"/>
      <c r="C134" s="6" t="str">
        <f>IFERROR(VLOOKUP(B134,メニュー!$B$3:$C$12,2,FALSE),"")</f>
        <v/>
      </c>
      <c r="D134" s="3"/>
      <c r="E134" s="6" t="str">
        <f>IFERROR(VLOOKUP(D134,メニュー!$D$3:$E$4,2,FALSE),"")</f>
        <v/>
      </c>
      <c r="F134" s="3"/>
      <c r="G134" s="6"/>
      <c r="H134" s="3"/>
      <c r="I134" s="6" t="str">
        <f>IFERROR(IF(F134&lt;&gt;"通信機器購入なし",VLOOKUP(F134&amp;H134,メニュー!$H$30:$I$39,2,0),VLOOKUP(D134&amp;F134&amp;H134,メニュー!$H$25:$I$26,2,0)),"")</f>
        <v/>
      </c>
      <c r="J134" s="7"/>
      <c r="K134" s="7"/>
      <c r="L134" s="7"/>
      <c r="M134" s="7"/>
    </row>
    <row r="135" spans="1:13" x14ac:dyDescent="0.2">
      <c r="A135" s="6" t="str">
        <f t="shared" si="2"/>
        <v/>
      </c>
      <c r="B135" s="3"/>
      <c r="C135" s="6" t="str">
        <f>IFERROR(VLOOKUP(B135,メニュー!$B$3:$C$12,2,FALSE),"")</f>
        <v/>
      </c>
      <c r="D135" s="3"/>
      <c r="E135" s="6" t="str">
        <f>IFERROR(VLOOKUP(D135,メニュー!$D$3:$E$4,2,FALSE),"")</f>
        <v/>
      </c>
      <c r="F135" s="3"/>
      <c r="G135" s="6"/>
      <c r="H135" s="3"/>
      <c r="I135" s="6" t="str">
        <f>IFERROR(IF(F135&lt;&gt;"通信機器購入なし",VLOOKUP(F135&amp;H135,メニュー!$H$30:$I$39,2,0),VLOOKUP(D135&amp;F135&amp;H135,メニュー!$H$25:$I$26,2,0)),"")</f>
        <v/>
      </c>
      <c r="J135" s="7"/>
      <c r="K135" s="7"/>
      <c r="L135" s="7"/>
      <c r="M135" s="7"/>
    </row>
    <row r="136" spans="1:13" x14ac:dyDescent="0.2">
      <c r="A136" s="6" t="str">
        <f t="shared" si="2"/>
        <v/>
      </c>
      <c r="B136" s="3"/>
      <c r="C136" s="6" t="str">
        <f>IFERROR(VLOOKUP(B136,メニュー!$B$3:$C$12,2,FALSE),"")</f>
        <v/>
      </c>
      <c r="D136" s="3"/>
      <c r="E136" s="6" t="str">
        <f>IFERROR(VLOOKUP(D136,メニュー!$D$3:$E$4,2,FALSE),"")</f>
        <v/>
      </c>
      <c r="F136" s="3"/>
      <c r="G136" s="6"/>
      <c r="H136" s="3"/>
      <c r="I136" s="6" t="str">
        <f>IFERROR(IF(F136&lt;&gt;"通信機器購入なし",VLOOKUP(F136&amp;H136,メニュー!$H$30:$I$39,2,0),VLOOKUP(D136&amp;F136&amp;H136,メニュー!$H$25:$I$26,2,0)),"")</f>
        <v/>
      </c>
      <c r="J136" s="7"/>
      <c r="K136" s="7"/>
      <c r="L136" s="7"/>
      <c r="M136" s="7"/>
    </row>
    <row r="137" spans="1:13" x14ac:dyDescent="0.2">
      <c r="A137" s="6" t="str">
        <f t="shared" si="2"/>
        <v/>
      </c>
      <c r="B137" s="3"/>
      <c r="C137" s="6" t="str">
        <f>IFERROR(VLOOKUP(B137,メニュー!$B$3:$C$12,2,FALSE),"")</f>
        <v/>
      </c>
      <c r="D137" s="3"/>
      <c r="E137" s="6" t="str">
        <f>IFERROR(VLOOKUP(D137,メニュー!$D$3:$E$4,2,FALSE),"")</f>
        <v/>
      </c>
      <c r="F137" s="3"/>
      <c r="G137" s="6"/>
      <c r="H137" s="3"/>
      <c r="I137" s="6" t="str">
        <f>IFERROR(IF(F137&lt;&gt;"通信機器購入なし",VLOOKUP(F137&amp;H137,メニュー!$H$30:$I$39,2,0),VLOOKUP(D137&amp;F137&amp;H137,メニュー!$H$25:$I$26,2,0)),"")</f>
        <v/>
      </c>
      <c r="J137" s="7"/>
      <c r="K137" s="7"/>
      <c r="L137" s="7"/>
      <c r="M137" s="7"/>
    </row>
    <row r="138" spans="1:13" x14ac:dyDescent="0.2">
      <c r="A138" s="6" t="str">
        <f t="shared" si="2"/>
        <v/>
      </c>
      <c r="B138" s="3"/>
      <c r="C138" s="6" t="str">
        <f>IFERROR(VLOOKUP(B138,メニュー!$B$3:$C$12,2,FALSE),"")</f>
        <v/>
      </c>
      <c r="D138" s="3"/>
      <c r="E138" s="6" t="str">
        <f>IFERROR(VLOOKUP(D138,メニュー!$D$3:$E$4,2,FALSE),"")</f>
        <v/>
      </c>
      <c r="F138" s="3"/>
      <c r="G138" s="6"/>
      <c r="H138" s="3"/>
      <c r="I138" s="6" t="str">
        <f>IFERROR(IF(F138&lt;&gt;"通信機器購入なし",VLOOKUP(F138&amp;H138,メニュー!$H$30:$I$39,2,0),VLOOKUP(D138&amp;F138&amp;H138,メニュー!$H$25:$I$26,2,0)),"")</f>
        <v/>
      </c>
      <c r="J138" s="7"/>
      <c r="K138" s="7"/>
      <c r="L138" s="7"/>
      <c r="M138" s="7"/>
    </row>
    <row r="139" spans="1:13" x14ac:dyDescent="0.2">
      <c r="A139" s="6" t="str">
        <f t="shared" si="2"/>
        <v/>
      </c>
      <c r="B139" s="3"/>
      <c r="C139" s="6" t="str">
        <f>IFERROR(VLOOKUP(B139,メニュー!$B$3:$C$12,2,FALSE),"")</f>
        <v/>
      </c>
      <c r="D139" s="3"/>
      <c r="E139" s="6" t="str">
        <f>IFERROR(VLOOKUP(D139,メニュー!$D$3:$E$4,2,FALSE),"")</f>
        <v/>
      </c>
      <c r="F139" s="3"/>
      <c r="G139" s="6"/>
      <c r="H139" s="3"/>
      <c r="I139" s="6" t="str">
        <f>IFERROR(IF(F139&lt;&gt;"通信機器購入なし",VLOOKUP(F139&amp;H139,メニュー!$H$30:$I$39,2,0),VLOOKUP(D139&amp;F139&amp;H139,メニュー!$H$25:$I$26,2,0)),"")</f>
        <v/>
      </c>
      <c r="J139" s="7"/>
      <c r="K139" s="7"/>
      <c r="L139" s="7"/>
      <c r="M139" s="7"/>
    </row>
    <row r="140" spans="1:13" x14ac:dyDescent="0.2">
      <c r="A140" s="6" t="str">
        <f t="shared" si="2"/>
        <v/>
      </c>
      <c r="B140" s="3"/>
      <c r="C140" s="6" t="str">
        <f>IFERROR(VLOOKUP(B140,メニュー!$B$3:$C$12,2,FALSE),"")</f>
        <v/>
      </c>
      <c r="D140" s="3"/>
      <c r="E140" s="6" t="str">
        <f>IFERROR(VLOOKUP(D140,メニュー!$D$3:$E$4,2,FALSE),"")</f>
        <v/>
      </c>
      <c r="F140" s="3"/>
      <c r="G140" s="6"/>
      <c r="H140" s="3"/>
      <c r="I140" s="6" t="str">
        <f>IFERROR(IF(F140&lt;&gt;"通信機器購入なし",VLOOKUP(F140&amp;H140,メニュー!$H$30:$I$39,2,0),VLOOKUP(D140&amp;F140&amp;H140,メニュー!$H$25:$I$26,2,0)),"")</f>
        <v/>
      </c>
      <c r="J140" s="7"/>
      <c r="K140" s="7"/>
      <c r="L140" s="7"/>
      <c r="M140" s="7"/>
    </row>
    <row r="141" spans="1:13" x14ac:dyDescent="0.2">
      <c r="A141" s="6" t="str">
        <f t="shared" si="2"/>
        <v/>
      </c>
      <c r="B141" s="3"/>
      <c r="C141" s="6" t="str">
        <f>IFERROR(VLOOKUP(B141,メニュー!$B$3:$C$12,2,FALSE),"")</f>
        <v/>
      </c>
      <c r="D141" s="3"/>
      <c r="E141" s="6" t="str">
        <f>IFERROR(VLOOKUP(D141,メニュー!$D$3:$E$4,2,FALSE),"")</f>
        <v/>
      </c>
      <c r="F141" s="3"/>
      <c r="G141" s="6"/>
      <c r="H141" s="3"/>
      <c r="I141" s="6" t="str">
        <f>IFERROR(IF(F141&lt;&gt;"通信機器購入なし",VLOOKUP(F141&amp;H141,メニュー!$H$30:$I$39,2,0),VLOOKUP(D141&amp;F141&amp;H141,メニュー!$H$25:$I$26,2,0)),"")</f>
        <v/>
      </c>
      <c r="J141" s="7"/>
      <c r="K141" s="7"/>
      <c r="L141" s="7"/>
      <c r="M141" s="7"/>
    </row>
    <row r="142" spans="1:13" x14ac:dyDescent="0.2">
      <c r="A142" s="6" t="str">
        <f t="shared" si="2"/>
        <v/>
      </c>
      <c r="B142" s="3"/>
      <c r="C142" s="6" t="str">
        <f>IFERROR(VLOOKUP(B142,メニュー!$B$3:$C$12,2,FALSE),"")</f>
        <v/>
      </c>
      <c r="D142" s="3"/>
      <c r="E142" s="6" t="str">
        <f>IFERROR(VLOOKUP(D142,メニュー!$D$3:$E$4,2,FALSE),"")</f>
        <v/>
      </c>
      <c r="F142" s="3"/>
      <c r="G142" s="6"/>
      <c r="H142" s="3"/>
      <c r="I142" s="6" t="str">
        <f>IFERROR(IF(F142&lt;&gt;"通信機器購入なし",VLOOKUP(F142&amp;H142,メニュー!$H$30:$I$39,2,0),VLOOKUP(D142&amp;F142&amp;H142,メニュー!$H$25:$I$26,2,0)),"")</f>
        <v/>
      </c>
      <c r="J142" s="7"/>
      <c r="K142" s="7"/>
      <c r="L142" s="7"/>
      <c r="M142" s="7"/>
    </row>
    <row r="143" spans="1:13" x14ac:dyDescent="0.2">
      <c r="A143" s="6" t="str">
        <f t="shared" si="2"/>
        <v/>
      </c>
      <c r="B143" s="3"/>
      <c r="C143" s="6" t="str">
        <f>IFERROR(VLOOKUP(B143,メニュー!$B$3:$C$12,2,FALSE),"")</f>
        <v/>
      </c>
      <c r="D143" s="3"/>
      <c r="E143" s="6" t="str">
        <f>IFERROR(VLOOKUP(D143,メニュー!$D$3:$E$4,2,FALSE),"")</f>
        <v/>
      </c>
      <c r="F143" s="3"/>
      <c r="G143" s="6"/>
      <c r="H143" s="3"/>
      <c r="I143" s="6" t="str">
        <f>IFERROR(IF(F143&lt;&gt;"通信機器購入なし",VLOOKUP(F143&amp;H143,メニュー!$H$30:$I$39,2,0),VLOOKUP(D143&amp;F143&amp;H143,メニュー!$H$25:$I$26,2,0)),"")</f>
        <v/>
      </c>
      <c r="J143" s="7"/>
      <c r="K143" s="7"/>
      <c r="L143" s="7"/>
      <c r="M143" s="7"/>
    </row>
    <row r="144" spans="1:13" x14ac:dyDescent="0.2">
      <c r="A144" s="6" t="str">
        <f t="shared" si="2"/>
        <v/>
      </c>
      <c r="B144" s="3"/>
      <c r="C144" s="6" t="str">
        <f>IFERROR(VLOOKUP(B144,メニュー!$B$3:$C$12,2,FALSE),"")</f>
        <v/>
      </c>
      <c r="D144" s="3"/>
      <c r="E144" s="6" t="str">
        <f>IFERROR(VLOOKUP(D144,メニュー!$D$3:$E$4,2,FALSE),"")</f>
        <v/>
      </c>
      <c r="F144" s="3"/>
      <c r="G144" s="6"/>
      <c r="H144" s="3"/>
      <c r="I144" s="6" t="str">
        <f>IFERROR(IF(F144&lt;&gt;"通信機器購入なし",VLOOKUP(F144&amp;H144,メニュー!$H$30:$I$39,2,0),VLOOKUP(D144&amp;F144&amp;H144,メニュー!$H$25:$I$26,2,0)),"")</f>
        <v/>
      </c>
      <c r="J144" s="7"/>
      <c r="K144" s="7"/>
      <c r="L144" s="7"/>
      <c r="M144" s="7"/>
    </row>
    <row r="145" spans="1:13" x14ac:dyDescent="0.2">
      <c r="A145" s="6" t="str">
        <f t="shared" si="2"/>
        <v/>
      </c>
      <c r="B145" s="3"/>
      <c r="C145" s="6" t="str">
        <f>IFERROR(VLOOKUP(B145,メニュー!$B$3:$C$12,2,FALSE),"")</f>
        <v/>
      </c>
      <c r="D145" s="3"/>
      <c r="E145" s="6" t="str">
        <f>IFERROR(VLOOKUP(D145,メニュー!$D$3:$E$4,2,FALSE),"")</f>
        <v/>
      </c>
      <c r="F145" s="3"/>
      <c r="G145" s="6"/>
      <c r="H145" s="3"/>
      <c r="I145" s="6" t="str">
        <f>IFERROR(IF(F145&lt;&gt;"通信機器購入なし",VLOOKUP(F145&amp;H145,メニュー!$H$30:$I$39,2,0),VLOOKUP(D145&amp;F145&amp;H145,メニュー!$H$25:$I$26,2,0)),"")</f>
        <v/>
      </c>
      <c r="J145" s="7"/>
      <c r="K145" s="7"/>
      <c r="L145" s="7"/>
      <c r="M145" s="7"/>
    </row>
    <row r="146" spans="1:13" x14ac:dyDescent="0.2">
      <c r="A146" s="6" t="str">
        <f t="shared" si="2"/>
        <v/>
      </c>
      <c r="B146" s="3"/>
      <c r="C146" s="6" t="str">
        <f>IFERROR(VLOOKUP(B146,メニュー!$B$3:$C$12,2,FALSE),"")</f>
        <v/>
      </c>
      <c r="D146" s="3"/>
      <c r="E146" s="6" t="str">
        <f>IFERROR(VLOOKUP(D146,メニュー!$D$3:$E$4,2,FALSE),"")</f>
        <v/>
      </c>
      <c r="F146" s="3"/>
      <c r="G146" s="6"/>
      <c r="H146" s="3"/>
      <c r="I146" s="6" t="str">
        <f>IFERROR(IF(F146&lt;&gt;"通信機器購入なし",VLOOKUP(F146&amp;H146,メニュー!$H$30:$I$39,2,0),VLOOKUP(D146&amp;F146&amp;H146,メニュー!$H$25:$I$26,2,0)),"")</f>
        <v/>
      </c>
      <c r="J146" s="7"/>
      <c r="K146" s="7"/>
      <c r="L146" s="7"/>
      <c r="M146" s="7"/>
    </row>
    <row r="147" spans="1:13" x14ac:dyDescent="0.2">
      <c r="A147" s="6" t="str">
        <f t="shared" si="2"/>
        <v/>
      </c>
      <c r="B147" s="3"/>
      <c r="C147" s="6" t="str">
        <f>IFERROR(VLOOKUP(B147,メニュー!$B$3:$C$12,2,FALSE),"")</f>
        <v/>
      </c>
      <c r="D147" s="3"/>
      <c r="E147" s="6" t="str">
        <f>IFERROR(VLOOKUP(D147,メニュー!$D$3:$E$4,2,FALSE),"")</f>
        <v/>
      </c>
      <c r="F147" s="3"/>
      <c r="G147" s="6"/>
      <c r="H147" s="3"/>
      <c r="I147" s="6" t="str">
        <f>IFERROR(IF(F147&lt;&gt;"通信機器購入なし",VLOOKUP(F147&amp;H147,メニュー!$H$30:$I$39,2,0),VLOOKUP(D147&amp;F147&amp;H147,メニュー!$H$25:$I$26,2,0)),"")</f>
        <v/>
      </c>
      <c r="J147" s="7"/>
      <c r="K147" s="7"/>
      <c r="L147" s="7"/>
      <c r="M147" s="7"/>
    </row>
    <row r="148" spans="1:13" x14ac:dyDescent="0.2">
      <c r="A148" s="6" t="str">
        <f t="shared" si="2"/>
        <v/>
      </c>
      <c r="B148" s="3"/>
      <c r="C148" s="6" t="str">
        <f>IFERROR(VLOOKUP(B148,メニュー!$B$3:$C$12,2,FALSE),"")</f>
        <v/>
      </c>
      <c r="D148" s="3"/>
      <c r="E148" s="6" t="str">
        <f>IFERROR(VLOOKUP(D148,メニュー!$D$3:$E$4,2,FALSE),"")</f>
        <v/>
      </c>
      <c r="F148" s="3"/>
      <c r="G148" s="6"/>
      <c r="H148" s="3"/>
      <c r="I148" s="6" t="str">
        <f>IFERROR(IF(F148&lt;&gt;"通信機器購入なし",VLOOKUP(F148&amp;H148,メニュー!$H$30:$I$39,2,0),VLOOKUP(D148&amp;F148&amp;H148,メニュー!$H$25:$I$26,2,0)),"")</f>
        <v/>
      </c>
      <c r="J148" s="7"/>
      <c r="K148" s="7"/>
      <c r="L148" s="7"/>
      <c r="M148" s="7"/>
    </row>
    <row r="149" spans="1:13" x14ac:dyDescent="0.2">
      <c r="A149" s="6" t="str">
        <f t="shared" si="2"/>
        <v/>
      </c>
      <c r="B149" s="3"/>
      <c r="C149" s="6" t="str">
        <f>IFERROR(VLOOKUP(B149,メニュー!$B$3:$C$12,2,FALSE),"")</f>
        <v/>
      </c>
      <c r="D149" s="3"/>
      <c r="E149" s="6" t="str">
        <f>IFERROR(VLOOKUP(D149,メニュー!$D$3:$E$4,2,FALSE),"")</f>
        <v/>
      </c>
      <c r="F149" s="3"/>
      <c r="G149" s="6"/>
      <c r="H149" s="3"/>
      <c r="I149" s="6" t="str">
        <f>IFERROR(IF(F149&lt;&gt;"通信機器購入なし",VLOOKUP(F149&amp;H149,メニュー!$H$30:$I$39,2,0),VLOOKUP(D149&amp;F149&amp;H149,メニュー!$H$25:$I$26,2,0)),"")</f>
        <v/>
      </c>
      <c r="J149" s="7"/>
      <c r="K149" s="7"/>
      <c r="L149" s="7"/>
      <c r="M149" s="7"/>
    </row>
    <row r="150" spans="1:13" x14ac:dyDescent="0.2">
      <c r="A150" s="6" t="str">
        <f t="shared" si="2"/>
        <v/>
      </c>
      <c r="B150" s="3"/>
      <c r="C150" s="6" t="str">
        <f>IFERROR(VLOOKUP(B150,メニュー!$B$3:$C$12,2,FALSE),"")</f>
        <v/>
      </c>
      <c r="D150" s="3"/>
      <c r="E150" s="6" t="str">
        <f>IFERROR(VLOOKUP(D150,メニュー!$D$3:$E$4,2,FALSE),"")</f>
        <v/>
      </c>
      <c r="F150" s="3"/>
      <c r="G150" s="6"/>
      <c r="H150" s="3"/>
      <c r="I150" s="6" t="str">
        <f>IFERROR(IF(F150&lt;&gt;"通信機器購入なし",VLOOKUP(F150&amp;H150,メニュー!$H$30:$I$39,2,0),VLOOKUP(D150&amp;F150&amp;H150,メニュー!$H$25:$I$26,2,0)),"")</f>
        <v/>
      </c>
      <c r="J150" s="7"/>
      <c r="K150" s="7"/>
      <c r="L150" s="7"/>
      <c r="M150" s="7"/>
    </row>
    <row r="151" spans="1:13" x14ac:dyDescent="0.2">
      <c r="A151" s="6" t="str">
        <f t="shared" si="2"/>
        <v/>
      </c>
      <c r="B151" s="3"/>
      <c r="C151" s="6" t="str">
        <f>IFERROR(VLOOKUP(B151,メニュー!$B$3:$C$12,2,FALSE),"")</f>
        <v/>
      </c>
      <c r="D151" s="3"/>
      <c r="E151" s="6" t="str">
        <f>IFERROR(VLOOKUP(D151,メニュー!$D$3:$E$4,2,FALSE),"")</f>
        <v/>
      </c>
      <c r="F151" s="3"/>
      <c r="G151" s="6"/>
      <c r="H151" s="3"/>
      <c r="I151" s="6" t="str">
        <f>IFERROR(IF(F151&lt;&gt;"通信機器購入なし",VLOOKUP(F151&amp;H151,メニュー!$H$30:$I$39,2,0),VLOOKUP(D151&amp;F151&amp;H151,メニュー!$H$25:$I$26,2,0)),"")</f>
        <v/>
      </c>
      <c r="J151" s="7"/>
      <c r="K151" s="7"/>
      <c r="L151" s="7"/>
      <c r="M151" s="7"/>
    </row>
    <row r="152" spans="1:13" x14ac:dyDescent="0.2">
      <c r="A152" s="6" t="str">
        <f t="shared" si="2"/>
        <v/>
      </c>
      <c r="B152" s="3"/>
      <c r="C152" s="6" t="str">
        <f>IFERROR(VLOOKUP(B152,メニュー!$B$3:$C$12,2,FALSE),"")</f>
        <v/>
      </c>
      <c r="D152" s="3"/>
      <c r="E152" s="6" t="str">
        <f>IFERROR(VLOOKUP(D152,メニュー!$D$3:$E$4,2,FALSE),"")</f>
        <v/>
      </c>
      <c r="F152" s="3"/>
      <c r="G152" s="6"/>
      <c r="H152" s="3"/>
      <c r="I152" s="6" t="str">
        <f>IFERROR(IF(F152&lt;&gt;"通信機器購入なし",VLOOKUP(F152&amp;H152,メニュー!$H$30:$I$39,2,0),VLOOKUP(D152&amp;F152&amp;H152,メニュー!$H$25:$I$26,2,0)),"")</f>
        <v/>
      </c>
      <c r="J152" s="7"/>
      <c r="K152" s="7"/>
      <c r="L152" s="7"/>
      <c r="M152" s="7"/>
    </row>
    <row r="153" spans="1:13" x14ac:dyDescent="0.2">
      <c r="A153" s="6" t="str">
        <f t="shared" si="2"/>
        <v/>
      </c>
      <c r="B153" s="3"/>
      <c r="C153" s="6" t="str">
        <f>IFERROR(VLOOKUP(B153,メニュー!$B$3:$C$12,2,FALSE),"")</f>
        <v/>
      </c>
      <c r="D153" s="3"/>
      <c r="E153" s="6" t="str">
        <f>IFERROR(VLOOKUP(D153,メニュー!$D$3:$E$4,2,FALSE),"")</f>
        <v/>
      </c>
      <c r="F153" s="3"/>
      <c r="G153" s="6"/>
      <c r="H153" s="3"/>
      <c r="I153" s="6" t="str">
        <f>IFERROR(IF(F153&lt;&gt;"通信機器購入なし",VLOOKUP(F153&amp;H153,メニュー!$H$30:$I$39,2,0),VLOOKUP(D153&amp;F153&amp;H153,メニュー!$H$25:$I$26,2,0)),"")</f>
        <v/>
      </c>
      <c r="J153" s="7"/>
      <c r="K153" s="7"/>
      <c r="L153" s="7"/>
      <c r="M153" s="7"/>
    </row>
    <row r="154" spans="1:13" x14ac:dyDescent="0.2">
      <c r="A154" s="6" t="str">
        <f t="shared" si="2"/>
        <v/>
      </c>
      <c r="B154" s="3"/>
      <c r="C154" s="6" t="str">
        <f>IFERROR(VLOOKUP(B154,メニュー!$B$3:$C$12,2,FALSE),"")</f>
        <v/>
      </c>
      <c r="D154" s="3"/>
      <c r="E154" s="6" t="str">
        <f>IFERROR(VLOOKUP(D154,メニュー!$D$3:$E$4,2,FALSE),"")</f>
        <v/>
      </c>
      <c r="F154" s="3"/>
      <c r="G154" s="6"/>
      <c r="H154" s="3"/>
      <c r="I154" s="6" t="str">
        <f>IFERROR(IF(F154&lt;&gt;"通信機器購入なし",VLOOKUP(F154&amp;H154,メニュー!$H$30:$I$39,2,0),VLOOKUP(D154&amp;F154&amp;H154,メニュー!$H$25:$I$26,2,0)),"")</f>
        <v/>
      </c>
      <c r="J154" s="7"/>
      <c r="K154" s="7"/>
      <c r="L154" s="7"/>
      <c r="M154" s="7"/>
    </row>
    <row r="155" spans="1:13" x14ac:dyDescent="0.2">
      <c r="A155" s="6" t="str">
        <f t="shared" si="2"/>
        <v/>
      </c>
      <c r="B155" s="3"/>
      <c r="C155" s="6" t="str">
        <f>IFERROR(VLOOKUP(B155,メニュー!$B$3:$C$12,2,FALSE),"")</f>
        <v/>
      </c>
      <c r="D155" s="3"/>
      <c r="E155" s="6" t="str">
        <f>IFERROR(VLOOKUP(D155,メニュー!$D$3:$E$4,2,FALSE),"")</f>
        <v/>
      </c>
      <c r="F155" s="3"/>
      <c r="G155" s="6"/>
      <c r="H155" s="3"/>
      <c r="I155" s="6" t="str">
        <f>IFERROR(IF(F155&lt;&gt;"通信機器購入なし",VLOOKUP(F155&amp;H155,メニュー!$H$30:$I$39,2,0),VLOOKUP(D155&amp;F155&amp;H155,メニュー!$H$25:$I$26,2,0)),"")</f>
        <v/>
      </c>
      <c r="J155" s="7"/>
      <c r="K155" s="7"/>
      <c r="L155" s="7"/>
      <c r="M155" s="7"/>
    </row>
    <row r="156" spans="1:13" x14ac:dyDescent="0.2">
      <c r="A156" s="6" t="str">
        <f t="shared" si="2"/>
        <v/>
      </c>
      <c r="B156" s="3"/>
      <c r="C156" s="6" t="str">
        <f>IFERROR(VLOOKUP(B156,メニュー!$B$3:$C$12,2,FALSE),"")</f>
        <v/>
      </c>
      <c r="D156" s="3"/>
      <c r="E156" s="6" t="str">
        <f>IFERROR(VLOOKUP(D156,メニュー!$D$3:$E$4,2,FALSE),"")</f>
        <v/>
      </c>
      <c r="F156" s="3"/>
      <c r="G156" s="6"/>
      <c r="H156" s="3"/>
      <c r="I156" s="6" t="str">
        <f>IFERROR(IF(F156&lt;&gt;"通信機器購入なし",VLOOKUP(F156&amp;H156,メニュー!$H$30:$I$39,2,0),VLOOKUP(D156&amp;F156&amp;H156,メニュー!$H$25:$I$26,2,0)),"")</f>
        <v/>
      </c>
      <c r="J156" s="7"/>
      <c r="K156" s="7"/>
      <c r="L156" s="7"/>
      <c r="M156" s="7"/>
    </row>
    <row r="157" spans="1:13" x14ac:dyDescent="0.2">
      <c r="A157" s="6" t="str">
        <f t="shared" si="2"/>
        <v/>
      </c>
      <c r="B157" s="3"/>
      <c r="C157" s="6" t="str">
        <f>IFERROR(VLOOKUP(B157,メニュー!$B$3:$C$12,2,FALSE),"")</f>
        <v/>
      </c>
      <c r="D157" s="3"/>
      <c r="E157" s="6" t="str">
        <f>IFERROR(VLOOKUP(D157,メニュー!$D$3:$E$4,2,FALSE),"")</f>
        <v/>
      </c>
      <c r="F157" s="3"/>
      <c r="G157" s="6"/>
      <c r="H157" s="3"/>
      <c r="I157" s="6" t="str">
        <f>IFERROR(IF(F157&lt;&gt;"通信機器購入なし",VLOOKUP(F157&amp;H157,メニュー!$H$30:$I$39,2,0),VLOOKUP(D157&amp;F157&amp;H157,メニュー!$H$25:$I$26,2,0)),"")</f>
        <v/>
      </c>
      <c r="J157" s="7"/>
      <c r="K157" s="7"/>
      <c r="L157" s="7"/>
      <c r="M157" s="7"/>
    </row>
    <row r="158" spans="1:13" x14ac:dyDescent="0.2">
      <c r="A158" s="6" t="str">
        <f t="shared" si="2"/>
        <v/>
      </c>
      <c r="B158" s="3"/>
      <c r="C158" s="6" t="str">
        <f>IFERROR(VLOOKUP(B158,メニュー!$B$3:$C$12,2,FALSE),"")</f>
        <v/>
      </c>
      <c r="D158" s="3"/>
      <c r="E158" s="6" t="str">
        <f>IFERROR(VLOOKUP(D158,メニュー!$D$3:$E$4,2,FALSE),"")</f>
        <v/>
      </c>
      <c r="F158" s="3"/>
      <c r="G158" s="6"/>
      <c r="H158" s="3"/>
      <c r="I158" s="6" t="str">
        <f>IFERROR(IF(F158&lt;&gt;"通信機器購入なし",VLOOKUP(F158&amp;H158,メニュー!$H$30:$I$39,2,0),VLOOKUP(D158&amp;F158&amp;H158,メニュー!$H$25:$I$26,2,0)),"")</f>
        <v/>
      </c>
      <c r="J158" s="7"/>
      <c r="K158" s="7"/>
      <c r="L158" s="7"/>
      <c r="M158" s="7"/>
    </row>
    <row r="159" spans="1:13" x14ac:dyDescent="0.2">
      <c r="A159" s="6" t="str">
        <f t="shared" si="2"/>
        <v/>
      </c>
      <c r="B159" s="3"/>
      <c r="C159" s="6" t="str">
        <f>IFERROR(VLOOKUP(B159,メニュー!$B$3:$C$12,2,FALSE),"")</f>
        <v/>
      </c>
      <c r="D159" s="3"/>
      <c r="E159" s="6" t="str">
        <f>IFERROR(VLOOKUP(D159,メニュー!$D$3:$E$4,2,FALSE),"")</f>
        <v/>
      </c>
      <c r="F159" s="3"/>
      <c r="G159" s="6"/>
      <c r="H159" s="3"/>
      <c r="I159" s="6" t="str">
        <f>IFERROR(IF(F159&lt;&gt;"通信機器購入なし",VLOOKUP(F159&amp;H159,メニュー!$H$30:$I$39,2,0),VLOOKUP(D159&amp;F159&amp;H159,メニュー!$H$25:$I$26,2,0)),"")</f>
        <v/>
      </c>
      <c r="J159" s="7"/>
      <c r="K159" s="7"/>
      <c r="L159" s="7"/>
      <c r="M159" s="7"/>
    </row>
    <row r="160" spans="1:13" x14ac:dyDescent="0.2">
      <c r="A160" s="6" t="str">
        <f t="shared" si="2"/>
        <v/>
      </c>
      <c r="B160" s="3"/>
      <c r="C160" s="6" t="str">
        <f>IFERROR(VLOOKUP(B160,メニュー!$B$3:$C$12,2,FALSE),"")</f>
        <v/>
      </c>
      <c r="D160" s="3"/>
      <c r="E160" s="6" t="str">
        <f>IFERROR(VLOOKUP(D160,メニュー!$D$3:$E$4,2,FALSE),"")</f>
        <v/>
      </c>
      <c r="F160" s="3"/>
      <c r="G160" s="6"/>
      <c r="H160" s="3"/>
      <c r="I160" s="6" t="str">
        <f>IFERROR(IF(F160&lt;&gt;"通信機器購入なし",VLOOKUP(F160&amp;H160,メニュー!$H$30:$I$39,2,0),VLOOKUP(D160&amp;F160&amp;H160,メニュー!$H$25:$I$26,2,0)),"")</f>
        <v/>
      </c>
      <c r="J160" s="7"/>
      <c r="K160" s="7"/>
      <c r="L160" s="7"/>
      <c r="M160" s="7"/>
    </row>
    <row r="161" spans="1:13" x14ac:dyDescent="0.2">
      <c r="A161" s="6" t="str">
        <f t="shared" si="2"/>
        <v/>
      </c>
      <c r="B161" s="3"/>
      <c r="C161" s="6" t="str">
        <f>IFERROR(VLOOKUP(B161,メニュー!$B$3:$C$12,2,FALSE),"")</f>
        <v/>
      </c>
      <c r="D161" s="3"/>
      <c r="E161" s="6" t="str">
        <f>IFERROR(VLOOKUP(D161,メニュー!$D$3:$E$4,2,FALSE),"")</f>
        <v/>
      </c>
      <c r="F161" s="3"/>
      <c r="G161" s="6"/>
      <c r="H161" s="3"/>
      <c r="I161" s="6" t="str">
        <f>IFERROR(IF(F161&lt;&gt;"通信機器購入なし",VLOOKUP(F161&amp;H161,メニュー!$H$30:$I$39,2,0),VLOOKUP(D161&amp;F161&amp;H161,メニュー!$H$25:$I$26,2,0)),"")</f>
        <v/>
      </c>
      <c r="J161" s="7"/>
      <c r="K161" s="7"/>
      <c r="L161" s="7"/>
      <c r="M161" s="7"/>
    </row>
    <row r="162" spans="1:13" x14ac:dyDescent="0.2">
      <c r="A162" s="6" t="str">
        <f t="shared" si="2"/>
        <v/>
      </c>
      <c r="B162" s="3"/>
      <c r="C162" s="6" t="str">
        <f>IFERROR(VLOOKUP(B162,メニュー!$B$3:$C$12,2,FALSE),"")</f>
        <v/>
      </c>
      <c r="D162" s="3"/>
      <c r="E162" s="6" t="str">
        <f>IFERROR(VLOOKUP(D162,メニュー!$D$3:$E$4,2,FALSE),"")</f>
        <v/>
      </c>
      <c r="F162" s="3"/>
      <c r="G162" s="6"/>
      <c r="H162" s="3"/>
      <c r="I162" s="6" t="str">
        <f>IFERROR(IF(F162&lt;&gt;"通信機器購入なし",VLOOKUP(F162&amp;H162,メニュー!$H$30:$I$39,2,0),VLOOKUP(D162&amp;F162&amp;H162,メニュー!$H$25:$I$26,2,0)),"")</f>
        <v/>
      </c>
      <c r="J162" s="7"/>
      <c r="K162" s="7"/>
      <c r="L162" s="7"/>
      <c r="M162" s="7"/>
    </row>
    <row r="163" spans="1:13" x14ac:dyDescent="0.2">
      <c r="A163" s="6" t="str">
        <f t="shared" si="2"/>
        <v/>
      </c>
      <c r="B163" s="3"/>
      <c r="C163" s="6" t="str">
        <f>IFERROR(VLOOKUP(B163,メニュー!$B$3:$C$12,2,FALSE),"")</f>
        <v/>
      </c>
      <c r="D163" s="3"/>
      <c r="E163" s="6" t="str">
        <f>IFERROR(VLOOKUP(D163,メニュー!$D$3:$E$4,2,FALSE),"")</f>
        <v/>
      </c>
      <c r="F163" s="3"/>
      <c r="G163" s="6"/>
      <c r="H163" s="3"/>
      <c r="I163" s="6" t="str">
        <f>IFERROR(IF(F163&lt;&gt;"通信機器購入なし",VLOOKUP(F163&amp;H163,メニュー!$H$30:$I$39,2,0),VLOOKUP(D163&amp;F163&amp;H163,メニュー!$H$25:$I$26,2,0)),"")</f>
        <v/>
      </c>
      <c r="J163" s="7"/>
      <c r="K163" s="7"/>
      <c r="L163" s="7"/>
      <c r="M163" s="7"/>
    </row>
    <row r="164" spans="1:13" x14ac:dyDescent="0.2">
      <c r="A164" s="6" t="str">
        <f t="shared" si="2"/>
        <v/>
      </c>
      <c r="B164" s="3"/>
      <c r="C164" s="6" t="str">
        <f>IFERROR(VLOOKUP(B164,メニュー!$B$3:$C$12,2,FALSE),"")</f>
        <v/>
      </c>
      <c r="D164" s="3"/>
      <c r="E164" s="6" t="str">
        <f>IFERROR(VLOOKUP(D164,メニュー!$D$3:$E$4,2,FALSE),"")</f>
        <v/>
      </c>
      <c r="F164" s="3"/>
      <c r="G164" s="6"/>
      <c r="H164" s="3"/>
      <c r="I164" s="6" t="str">
        <f>IFERROR(IF(F164&lt;&gt;"通信機器購入なし",VLOOKUP(F164&amp;H164,メニュー!$H$30:$I$39,2,0),VLOOKUP(D164&amp;F164&amp;H164,メニュー!$H$25:$I$26,2,0)),"")</f>
        <v/>
      </c>
      <c r="J164" s="7"/>
      <c r="K164" s="7"/>
      <c r="L164" s="7"/>
      <c r="M164" s="7"/>
    </row>
    <row r="165" spans="1:13" x14ac:dyDescent="0.2">
      <c r="A165" s="6" t="str">
        <f t="shared" si="2"/>
        <v/>
      </c>
      <c r="B165" s="3"/>
      <c r="C165" s="6" t="str">
        <f>IFERROR(VLOOKUP(B165,メニュー!$B$3:$C$12,2,FALSE),"")</f>
        <v/>
      </c>
      <c r="D165" s="3"/>
      <c r="E165" s="6" t="str">
        <f>IFERROR(VLOOKUP(D165,メニュー!$D$3:$E$4,2,FALSE),"")</f>
        <v/>
      </c>
      <c r="F165" s="3"/>
      <c r="G165" s="6"/>
      <c r="H165" s="3"/>
      <c r="I165" s="6" t="str">
        <f>IFERROR(IF(F165&lt;&gt;"通信機器購入なし",VLOOKUP(F165&amp;H165,メニュー!$H$30:$I$39,2,0),VLOOKUP(D165&amp;F165&amp;H165,メニュー!$H$25:$I$26,2,0)),"")</f>
        <v/>
      </c>
      <c r="J165" s="7"/>
      <c r="K165" s="7"/>
      <c r="L165" s="7"/>
      <c r="M165" s="7"/>
    </row>
    <row r="166" spans="1:13" x14ac:dyDescent="0.2">
      <c r="A166" s="6" t="str">
        <f t="shared" si="2"/>
        <v/>
      </c>
      <c r="B166" s="3"/>
      <c r="C166" s="6" t="str">
        <f>IFERROR(VLOOKUP(B166,メニュー!$B$3:$C$12,2,FALSE),"")</f>
        <v/>
      </c>
      <c r="D166" s="3"/>
      <c r="E166" s="6" t="str">
        <f>IFERROR(VLOOKUP(D166,メニュー!$D$3:$E$4,2,FALSE),"")</f>
        <v/>
      </c>
      <c r="F166" s="3"/>
      <c r="G166" s="6"/>
      <c r="H166" s="3"/>
      <c r="I166" s="6" t="str">
        <f>IFERROR(IF(F166&lt;&gt;"通信機器購入なし",VLOOKUP(F166&amp;H166,メニュー!$H$30:$I$39,2,0),VLOOKUP(D166&amp;F166&amp;H166,メニュー!$H$25:$I$26,2,0)),"")</f>
        <v/>
      </c>
      <c r="J166" s="7"/>
      <c r="K166" s="7"/>
      <c r="L166" s="7"/>
      <c r="M166" s="7"/>
    </row>
    <row r="167" spans="1:13" x14ac:dyDescent="0.2">
      <c r="A167" s="6" t="str">
        <f t="shared" si="2"/>
        <v/>
      </c>
      <c r="B167" s="3"/>
      <c r="C167" s="6" t="str">
        <f>IFERROR(VLOOKUP(B167,メニュー!$B$3:$C$12,2,FALSE),"")</f>
        <v/>
      </c>
      <c r="D167" s="3"/>
      <c r="E167" s="6" t="str">
        <f>IFERROR(VLOOKUP(D167,メニュー!$D$3:$E$4,2,FALSE),"")</f>
        <v/>
      </c>
      <c r="F167" s="3"/>
      <c r="G167" s="6"/>
      <c r="H167" s="3"/>
      <c r="I167" s="6" t="str">
        <f>IFERROR(IF(F167&lt;&gt;"通信機器購入なし",VLOOKUP(F167&amp;H167,メニュー!$H$30:$I$39,2,0),VLOOKUP(D167&amp;F167&amp;H167,メニュー!$H$25:$I$26,2,0)),"")</f>
        <v/>
      </c>
      <c r="J167" s="7"/>
      <c r="K167" s="7"/>
      <c r="L167" s="7"/>
      <c r="M167" s="7"/>
    </row>
    <row r="168" spans="1:13" x14ac:dyDescent="0.2">
      <c r="A168" s="6" t="str">
        <f t="shared" si="2"/>
        <v/>
      </c>
      <c r="B168" s="3"/>
      <c r="C168" s="6" t="str">
        <f>IFERROR(VLOOKUP(B168,メニュー!$B$3:$C$12,2,FALSE),"")</f>
        <v/>
      </c>
      <c r="D168" s="3"/>
      <c r="E168" s="6" t="str">
        <f>IFERROR(VLOOKUP(D168,メニュー!$D$3:$E$4,2,FALSE),"")</f>
        <v/>
      </c>
      <c r="F168" s="3"/>
      <c r="G168" s="6"/>
      <c r="H168" s="3"/>
      <c r="I168" s="6" t="str">
        <f>IFERROR(IF(F168&lt;&gt;"通信機器購入なし",VLOOKUP(F168&amp;H168,メニュー!$H$30:$I$39,2,0),VLOOKUP(D168&amp;F168&amp;H168,メニュー!$H$25:$I$26,2,0)),"")</f>
        <v/>
      </c>
      <c r="J168" s="7"/>
      <c r="K168" s="7"/>
      <c r="L168" s="7"/>
      <c r="M168" s="7"/>
    </row>
    <row r="169" spans="1:13" x14ac:dyDescent="0.2">
      <c r="A169" s="6" t="str">
        <f t="shared" si="2"/>
        <v/>
      </c>
      <c r="B169" s="3"/>
      <c r="C169" s="6" t="str">
        <f>IFERROR(VLOOKUP(B169,メニュー!$B$3:$C$12,2,FALSE),"")</f>
        <v/>
      </c>
      <c r="D169" s="3"/>
      <c r="E169" s="6" t="str">
        <f>IFERROR(VLOOKUP(D169,メニュー!$D$3:$E$4,2,FALSE),"")</f>
        <v/>
      </c>
      <c r="F169" s="3"/>
      <c r="G169" s="6"/>
      <c r="H169" s="3"/>
      <c r="I169" s="6" t="str">
        <f>IFERROR(IF(F169&lt;&gt;"通信機器購入なし",VLOOKUP(F169&amp;H169,メニュー!$H$30:$I$39,2,0),VLOOKUP(D169&amp;F169&amp;H169,メニュー!$H$25:$I$26,2,0)),"")</f>
        <v/>
      </c>
      <c r="J169" s="7"/>
      <c r="K169" s="7"/>
      <c r="L169" s="7"/>
      <c r="M169" s="7"/>
    </row>
    <row r="170" spans="1:13" x14ac:dyDescent="0.2">
      <c r="A170" s="6" t="str">
        <f t="shared" si="2"/>
        <v/>
      </c>
      <c r="B170" s="3"/>
      <c r="C170" s="6" t="str">
        <f>IFERROR(VLOOKUP(B170,メニュー!$B$3:$C$12,2,FALSE),"")</f>
        <v/>
      </c>
      <c r="D170" s="3"/>
      <c r="E170" s="6" t="str">
        <f>IFERROR(VLOOKUP(D170,メニュー!$D$3:$E$4,2,FALSE),"")</f>
        <v/>
      </c>
      <c r="F170" s="3"/>
      <c r="G170" s="6"/>
      <c r="H170" s="3"/>
      <c r="I170" s="6" t="str">
        <f>IFERROR(IF(F170&lt;&gt;"通信機器購入なし",VLOOKUP(F170&amp;H170,メニュー!$H$30:$I$39,2,0),VLOOKUP(D170&amp;F170&amp;H170,メニュー!$H$25:$I$26,2,0)),"")</f>
        <v/>
      </c>
      <c r="J170" s="7"/>
      <c r="K170" s="7"/>
      <c r="L170" s="7"/>
      <c r="M170" s="7"/>
    </row>
    <row r="171" spans="1:13" x14ac:dyDescent="0.2">
      <c r="A171" s="6" t="str">
        <f t="shared" si="2"/>
        <v/>
      </c>
      <c r="B171" s="3"/>
      <c r="C171" s="6" t="str">
        <f>IFERROR(VLOOKUP(B171,メニュー!$B$3:$C$12,2,FALSE),"")</f>
        <v/>
      </c>
      <c r="D171" s="3"/>
      <c r="E171" s="6" t="str">
        <f>IFERROR(VLOOKUP(D171,メニュー!$D$3:$E$4,2,FALSE),"")</f>
        <v/>
      </c>
      <c r="F171" s="3"/>
      <c r="G171" s="6"/>
      <c r="H171" s="3"/>
      <c r="I171" s="6" t="str">
        <f>IFERROR(IF(F171&lt;&gt;"通信機器購入なし",VLOOKUP(F171&amp;H171,メニュー!$H$30:$I$39,2,0),VLOOKUP(D171&amp;F171&amp;H171,メニュー!$H$25:$I$26,2,0)),"")</f>
        <v/>
      </c>
      <c r="J171" s="7"/>
      <c r="K171" s="7"/>
      <c r="L171" s="7"/>
      <c r="M171" s="7"/>
    </row>
    <row r="172" spans="1:13" x14ac:dyDescent="0.2">
      <c r="A172" s="6" t="str">
        <f t="shared" si="2"/>
        <v/>
      </c>
      <c r="B172" s="3"/>
      <c r="C172" s="6" t="str">
        <f>IFERROR(VLOOKUP(B172,メニュー!$B$3:$C$12,2,FALSE),"")</f>
        <v/>
      </c>
      <c r="D172" s="3"/>
      <c r="E172" s="6" t="str">
        <f>IFERROR(VLOOKUP(D172,メニュー!$D$3:$E$4,2,FALSE),"")</f>
        <v/>
      </c>
      <c r="F172" s="3"/>
      <c r="G172" s="6"/>
      <c r="H172" s="3"/>
      <c r="I172" s="6" t="str">
        <f>IFERROR(IF(F172&lt;&gt;"通信機器購入なし",VLOOKUP(F172&amp;H172,メニュー!$H$30:$I$39,2,0),VLOOKUP(D172&amp;F172&amp;H172,メニュー!$H$25:$I$26,2,0)),"")</f>
        <v/>
      </c>
      <c r="J172" s="7"/>
      <c r="K172" s="7"/>
      <c r="L172" s="7"/>
      <c r="M172" s="7"/>
    </row>
    <row r="173" spans="1:13" x14ac:dyDescent="0.2">
      <c r="A173" s="6" t="str">
        <f t="shared" si="2"/>
        <v/>
      </c>
      <c r="B173" s="3"/>
      <c r="C173" s="6" t="str">
        <f>IFERROR(VLOOKUP(B173,メニュー!$B$3:$C$12,2,FALSE),"")</f>
        <v/>
      </c>
      <c r="D173" s="3"/>
      <c r="E173" s="6" t="str">
        <f>IFERROR(VLOOKUP(D173,メニュー!$D$3:$E$4,2,FALSE),"")</f>
        <v/>
      </c>
      <c r="F173" s="3"/>
      <c r="G173" s="6"/>
      <c r="H173" s="3"/>
      <c r="I173" s="6" t="str">
        <f>IFERROR(IF(F173&lt;&gt;"通信機器購入なし",VLOOKUP(F173&amp;H173,メニュー!$H$30:$I$39,2,0),VLOOKUP(D173&amp;F173&amp;H173,メニュー!$H$25:$I$26,2,0)),"")</f>
        <v/>
      </c>
      <c r="J173" s="7"/>
      <c r="K173" s="7"/>
      <c r="L173" s="7"/>
      <c r="M173" s="7"/>
    </row>
    <row r="174" spans="1:13" x14ac:dyDescent="0.2">
      <c r="A174" s="6" t="str">
        <f t="shared" si="2"/>
        <v/>
      </c>
      <c r="B174" s="3"/>
      <c r="C174" s="6" t="str">
        <f>IFERROR(VLOOKUP(B174,メニュー!$B$3:$C$12,2,FALSE),"")</f>
        <v/>
      </c>
      <c r="D174" s="3"/>
      <c r="E174" s="6" t="str">
        <f>IFERROR(VLOOKUP(D174,メニュー!$D$3:$E$4,2,FALSE),"")</f>
        <v/>
      </c>
      <c r="F174" s="3"/>
      <c r="G174" s="6"/>
      <c r="H174" s="3"/>
      <c r="I174" s="6" t="str">
        <f>IFERROR(IF(F174&lt;&gt;"通信機器購入なし",VLOOKUP(F174&amp;H174,メニュー!$H$30:$I$39,2,0),VLOOKUP(D174&amp;F174&amp;H174,メニュー!$H$25:$I$26,2,0)),"")</f>
        <v/>
      </c>
      <c r="J174" s="7"/>
      <c r="K174" s="7"/>
      <c r="L174" s="7"/>
      <c r="M174" s="7"/>
    </row>
    <row r="175" spans="1:13" x14ac:dyDescent="0.2">
      <c r="A175" s="6" t="str">
        <f t="shared" si="2"/>
        <v/>
      </c>
      <c r="B175" s="3"/>
      <c r="C175" s="6" t="str">
        <f>IFERROR(VLOOKUP(B175,メニュー!$B$3:$C$12,2,FALSE),"")</f>
        <v/>
      </c>
      <c r="D175" s="3"/>
      <c r="E175" s="6" t="str">
        <f>IFERROR(VLOOKUP(D175,メニュー!$D$3:$E$4,2,FALSE),"")</f>
        <v/>
      </c>
      <c r="F175" s="3"/>
      <c r="G175" s="6"/>
      <c r="H175" s="3"/>
      <c r="I175" s="6" t="str">
        <f>IFERROR(IF(F175&lt;&gt;"通信機器購入なし",VLOOKUP(F175&amp;H175,メニュー!$H$30:$I$39,2,0),VLOOKUP(D175&amp;F175&amp;H175,メニュー!$H$25:$I$26,2,0)),"")</f>
        <v/>
      </c>
      <c r="J175" s="7"/>
      <c r="K175" s="7"/>
      <c r="L175" s="7"/>
      <c r="M175" s="7"/>
    </row>
    <row r="176" spans="1:13" x14ac:dyDescent="0.2">
      <c r="A176" s="6" t="str">
        <f t="shared" si="2"/>
        <v/>
      </c>
      <c r="B176" s="3"/>
      <c r="C176" s="6" t="str">
        <f>IFERROR(VLOOKUP(B176,メニュー!$B$3:$C$12,2,FALSE),"")</f>
        <v/>
      </c>
      <c r="D176" s="3"/>
      <c r="E176" s="6" t="str">
        <f>IFERROR(VLOOKUP(D176,メニュー!$D$3:$E$4,2,FALSE),"")</f>
        <v/>
      </c>
      <c r="F176" s="3"/>
      <c r="G176" s="6"/>
      <c r="H176" s="3"/>
      <c r="I176" s="6" t="str">
        <f>IFERROR(IF(F176&lt;&gt;"通信機器購入なし",VLOOKUP(F176&amp;H176,メニュー!$H$30:$I$39,2,0),VLOOKUP(D176&amp;F176&amp;H176,メニュー!$H$25:$I$26,2,0)),"")</f>
        <v/>
      </c>
      <c r="J176" s="7"/>
      <c r="K176" s="7"/>
      <c r="L176" s="7"/>
      <c r="M176" s="7"/>
    </row>
    <row r="177" spans="1:13" x14ac:dyDescent="0.2">
      <c r="A177" s="6" t="str">
        <f t="shared" si="2"/>
        <v/>
      </c>
      <c r="B177" s="3"/>
      <c r="C177" s="6" t="str">
        <f>IFERROR(VLOOKUP(B177,メニュー!$B$3:$C$12,2,FALSE),"")</f>
        <v/>
      </c>
      <c r="D177" s="3"/>
      <c r="E177" s="6" t="str">
        <f>IFERROR(VLOOKUP(D177,メニュー!$D$3:$E$4,2,FALSE),"")</f>
        <v/>
      </c>
      <c r="F177" s="3"/>
      <c r="G177" s="6"/>
      <c r="H177" s="3"/>
      <c r="I177" s="6" t="str">
        <f>IFERROR(IF(F177&lt;&gt;"通信機器購入なし",VLOOKUP(F177&amp;H177,メニュー!$H$30:$I$39,2,0),VLOOKUP(D177&amp;F177&amp;H177,メニュー!$H$25:$I$26,2,0)),"")</f>
        <v/>
      </c>
      <c r="J177" s="7"/>
      <c r="K177" s="7"/>
      <c r="L177" s="7"/>
      <c r="M177" s="7"/>
    </row>
    <row r="178" spans="1:13" x14ac:dyDescent="0.2">
      <c r="A178" s="6" t="str">
        <f t="shared" si="2"/>
        <v/>
      </c>
      <c r="B178" s="3"/>
      <c r="C178" s="6" t="str">
        <f>IFERROR(VLOOKUP(B178,メニュー!$B$3:$C$12,2,FALSE),"")</f>
        <v/>
      </c>
      <c r="D178" s="3"/>
      <c r="E178" s="6" t="str">
        <f>IFERROR(VLOOKUP(D178,メニュー!$D$3:$E$4,2,FALSE),"")</f>
        <v/>
      </c>
      <c r="F178" s="3"/>
      <c r="G178" s="6"/>
      <c r="H178" s="3"/>
      <c r="I178" s="6" t="str">
        <f>IFERROR(IF(F178&lt;&gt;"通信機器購入なし",VLOOKUP(F178&amp;H178,メニュー!$H$30:$I$39,2,0),VLOOKUP(D178&amp;F178&amp;H178,メニュー!$H$25:$I$26,2,0)),"")</f>
        <v/>
      </c>
      <c r="J178" s="7"/>
      <c r="K178" s="7"/>
      <c r="L178" s="7"/>
      <c r="M178" s="7"/>
    </row>
    <row r="179" spans="1:13" x14ac:dyDescent="0.2">
      <c r="A179" s="6" t="str">
        <f t="shared" si="2"/>
        <v/>
      </c>
      <c r="B179" s="3"/>
      <c r="C179" s="6" t="str">
        <f>IFERROR(VLOOKUP(B179,メニュー!$B$3:$C$12,2,FALSE),"")</f>
        <v/>
      </c>
      <c r="D179" s="3"/>
      <c r="E179" s="6" t="str">
        <f>IFERROR(VLOOKUP(D179,メニュー!$D$3:$E$4,2,FALSE),"")</f>
        <v/>
      </c>
      <c r="F179" s="3"/>
      <c r="G179" s="6"/>
      <c r="H179" s="3"/>
      <c r="I179" s="6" t="str">
        <f>IFERROR(IF(F179&lt;&gt;"通信機器購入なし",VLOOKUP(F179&amp;H179,メニュー!$H$30:$I$39,2,0),VLOOKUP(D179&amp;F179&amp;H179,メニュー!$H$25:$I$26,2,0)),"")</f>
        <v/>
      </c>
      <c r="J179" s="7"/>
      <c r="K179" s="7"/>
      <c r="L179" s="7"/>
      <c r="M179" s="7"/>
    </row>
    <row r="180" spans="1:13" x14ac:dyDescent="0.2">
      <c r="A180" s="6" t="str">
        <f t="shared" si="2"/>
        <v/>
      </c>
      <c r="B180" s="3"/>
      <c r="C180" s="6" t="str">
        <f>IFERROR(VLOOKUP(B180,メニュー!$B$3:$C$12,2,FALSE),"")</f>
        <v/>
      </c>
      <c r="D180" s="3"/>
      <c r="E180" s="6" t="str">
        <f>IFERROR(VLOOKUP(D180,メニュー!$D$3:$E$4,2,FALSE),"")</f>
        <v/>
      </c>
      <c r="F180" s="3"/>
      <c r="G180" s="6"/>
      <c r="H180" s="3"/>
      <c r="I180" s="6" t="str">
        <f>IFERROR(IF(F180&lt;&gt;"通信機器購入なし",VLOOKUP(F180&amp;H180,メニュー!$H$30:$I$39,2,0),VLOOKUP(D180&amp;F180&amp;H180,メニュー!$H$25:$I$26,2,0)),"")</f>
        <v/>
      </c>
      <c r="J180" s="7"/>
      <c r="K180" s="7"/>
      <c r="L180" s="7"/>
      <c r="M180" s="7"/>
    </row>
    <row r="181" spans="1:13" x14ac:dyDescent="0.2">
      <c r="A181" s="6" t="str">
        <f t="shared" si="2"/>
        <v/>
      </c>
      <c r="B181" s="3"/>
      <c r="C181" s="6" t="str">
        <f>IFERROR(VLOOKUP(B181,メニュー!$B$3:$C$12,2,FALSE),"")</f>
        <v/>
      </c>
      <c r="D181" s="3"/>
      <c r="E181" s="6" t="str">
        <f>IFERROR(VLOOKUP(D181,メニュー!$D$3:$E$4,2,FALSE),"")</f>
        <v/>
      </c>
      <c r="F181" s="3"/>
      <c r="G181" s="6"/>
      <c r="H181" s="3"/>
      <c r="I181" s="6" t="str">
        <f>IFERROR(IF(F181&lt;&gt;"通信機器購入なし",VLOOKUP(F181&amp;H181,メニュー!$H$30:$I$39,2,0),VLOOKUP(D181&amp;F181&amp;H181,メニュー!$H$25:$I$26,2,0)),"")</f>
        <v/>
      </c>
      <c r="J181" s="7"/>
      <c r="K181" s="7"/>
      <c r="L181" s="7"/>
      <c r="M181" s="7"/>
    </row>
    <row r="182" spans="1:13" x14ac:dyDescent="0.2">
      <c r="A182" s="6" t="str">
        <f t="shared" si="2"/>
        <v/>
      </c>
      <c r="B182" s="3"/>
      <c r="C182" s="6" t="str">
        <f>IFERROR(VLOOKUP(B182,メニュー!$B$3:$C$12,2,FALSE),"")</f>
        <v/>
      </c>
      <c r="D182" s="3"/>
      <c r="E182" s="6" t="str">
        <f>IFERROR(VLOOKUP(D182,メニュー!$D$3:$E$4,2,FALSE),"")</f>
        <v/>
      </c>
      <c r="F182" s="3"/>
      <c r="G182" s="6"/>
      <c r="H182" s="3"/>
      <c r="I182" s="6" t="str">
        <f>IFERROR(IF(F182&lt;&gt;"通信機器購入なし",VLOOKUP(F182&amp;H182,メニュー!$H$30:$I$39,2,0),VLOOKUP(D182&amp;F182&amp;H182,メニュー!$H$25:$I$26,2,0)),"")</f>
        <v/>
      </c>
      <c r="J182" s="7"/>
      <c r="K182" s="7"/>
      <c r="L182" s="7"/>
      <c r="M182" s="7"/>
    </row>
    <row r="183" spans="1:13" x14ac:dyDescent="0.2">
      <c r="A183" s="6" t="str">
        <f t="shared" si="2"/>
        <v/>
      </c>
      <c r="B183" s="3"/>
      <c r="C183" s="6" t="str">
        <f>IFERROR(VLOOKUP(B183,メニュー!$B$3:$C$12,2,FALSE),"")</f>
        <v/>
      </c>
      <c r="D183" s="3"/>
      <c r="E183" s="6" t="str">
        <f>IFERROR(VLOOKUP(D183,メニュー!$D$3:$E$4,2,FALSE),"")</f>
        <v/>
      </c>
      <c r="F183" s="3"/>
      <c r="G183" s="6"/>
      <c r="H183" s="3"/>
      <c r="I183" s="6" t="str">
        <f>IFERROR(IF(F183&lt;&gt;"通信機器購入なし",VLOOKUP(F183&amp;H183,メニュー!$H$30:$I$39,2,0),VLOOKUP(D183&amp;F183&amp;H183,メニュー!$H$25:$I$26,2,0)),"")</f>
        <v/>
      </c>
      <c r="J183" s="7"/>
      <c r="K183" s="7"/>
      <c r="L183" s="7"/>
      <c r="M183" s="7"/>
    </row>
    <row r="184" spans="1:13" x14ac:dyDescent="0.2">
      <c r="A184" s="6" t="str">
        <f t="shared" si="2"/>
        <v/>
      </c>
      <c r="B184" s="3"/>
      <c r="C184" s="6" t="str">
        <f>IFERROR(VLOOKUP(B184,メニュー!$B$3:$C$12,2,FALSE),"")</f>
        <v/>
      </c>
      <c r="D184" s="3"/>
      <c r="E184" s="6" t="str">
        <f>IFERROR(VLOOKUP(D184,メニュー!$D$3:$E$4,2,FALSE),"")</f>
        <v/>
      </c>
      <c r="F184" s="3"/>
      <c r="G184" s="6"/>
      <c r="H184" s="3"/>
      <c r="I184" s="6" t="str">
        <f>IFERROR(IF(F184&lt;&gt;"通信機器購入なし",VLOOKUP(F184&amp;H184,メニュー!$H$30:$I$39,2,0),VLOOKUP(D184&amp;F184&amp;H184,メニュー!$H$25:$I$26,2,0)),"")</f>
        <v/>
      </c>
      <c r="J184" s="7"/>
      <c r="K184" s="7"/>
      <c r="L184" s="7"/>
      <c r="M184" s="7"/>
    </row>
    <row r="185" spans="1:13" x14ac:dyDescent="0.2">
      <c r="A185" s="6" t="str">
        <f t="shared" si="2"/>
        <v/>
      </c>
      <c r="B185" s="3"/>
      <c r="C185" s="6" t="str">
        <f>IFERROR(VLOOKUP(B185,メニュー!$B$3:$C$12,2,FALSE),"")</f>
        <v/>
      </c>
      <c r="D185" s="3"/>
      <c r="E185" s="6" t="str">
        <f>IFERROR(VLOOKUP(D185,メニュー!$D$3:$E$4,2,FALSE),"")</f>
        <v/>
      </c>
      <c r="F185" s="3"/>
      <c r="G185" s="6"/>
      <c r="H185" s="3"/>
      <c r="I185" s="6" t="str">
        <f>IFERROR(IF(F185&lt;&gt;"通信機器購入なし",VLOOKUP(F185&amp;H185,メニュー!$H$30:$I$39,2,0),VLOOKUP(D185&amp;F185&amp;H185,メニュー!$H$25:$I$26,2,0)),"")</f>
        <v/>
      </c>
      <c r="J185" s="7"/>
      <c r="K185" s="7"/>
      <c r="L185" s="7"/>
      <c r="M185" s="7"/>
    </row>
    <row r="186" spans="1:13" x14ac:dyDescent="0.2">
      <c r="A186" s="6" t="str">
        <f t="shared" si="2"/>
        <v/>
      </c>
      <c r="B186" s="3"/>
      <c r="C186" s="6" t="str">
        <f>IFERROR(VLOOKUP(B186,メニュー!$B$3:$C$12,2,FALSE),"")</f>
        <v/>
      </c>
      <c r="D186" s="3"/>
      <c r="E186" s="6" t="str">
        <f>IFERROR(VLOOKUP(D186,メニュー!$D$3:$E$4,2,FALSE),"")</f>
        <v/>
      </c>
      <c r="F186" s="3"/>
      <c r="G186" s="6"/>
      <c r="H186" s="3"/>
      <c r="I186" s="6" t="str">
        <f>IFERROR(IF(F186&lt;&gt;"通信機器購入なし",VLOOKUP(F186&amp;H186,メニュー!$H$30:$I$39,2,0),VLOOKUP(D186&amp;F186&amp;H186,メニュー!$H$25:$I$26,2,0)),"")</f>
        <v/>
      </c>
      <c r="J186" s="7"/>
      <c r="K186" s="7"/>
      <c r="L186" s="7"/>
      <c r="M186" s="7"/>
    </row>
    <row r="187" spans="1:13" x14ac:dyDescent="0.2">
      <c r="A187" s="6" t="str">
        <f t="shared" si="2"/>
        <v/>
      </c>
      <c r="B187" s="3"/>
      <c r="C187" s="6" t="str">
        <f>IFERROR(VLOOKUP(B187,メニュー!$B$3:$C$12,2,FALSE),"")</f>
        <v/>
      </c>
      <c r="D187" s="3"/>
      <c r="E187" s="6" t="str">
        <f>IFERROR(VLOOKUP(D187,メニュー!$D$3:$E$4,2,FALSE),"")</f>
        <v/>
      </c>
      <c r="F187" s="3"/>
      <c r="G187" s="6"/>
      <c r="H187" s="3"/>
      <c r="I187" s="6" t="str">
        <f>IFERROR(IF(F187&lt;&gt;"通信機器購入なし",VLOOKUP(F187&amp;H187,メニュー!$H$30:$I$39,2,0),VLOOKUP(D187&amp;F187&amp;H187,メニュー!$H$25:$I$26,2,0)),"")</f>
        <v/>
      </c>
      <c r="J187" s="7"/>
      <c r="K187" s="7"/>
      <c r="L187" s="7"/>
      <c r="M187" s="7"/>
    </row>
    <row r="188" spans="1:13" x14ac:dyDescent="0.2">
      <c r="A188" s="6" t="str">
        <f t="shared" si="2"/>
        <v/>
      </c>
      <c r="B188" s="3"/>
      <c r="C188" s="6" t="str">
        <f>IFERROR(VLOOKUP(B188,メニュー!$B$3:$C$12,2,FALSE),"")</f>
        <v/>
      </c>
      <c r="D188" s="3"/>
      <c r="E188" s="6" t="str">
        <f>IFERROR(VLOOKUP(D188,メニュー!$D$3:$E$4,2,FALSE),"")</f>
        <v/>
      </c>
      <c r="F188" s="3"/>
      <c r="G188" s="6"/>
      <c r="H188" s="3"/>
      <c r="I188" s="6" t="str">
        <f>IFERROR(IF(F188&lt;&gt;"通信機器購入なし",VLOOKUP(F188&amp;H188,メニュー!$H$30:$I$39,2,0),VLOOKUP(D188&amp;F188&amp;H188,メニュー!$H$25:$I$26,2,0)),"")</f>
        <v/>
      </c>
      <c r="J188" s="7"/>
      <c r="K188" s="7"/>
      <c r="L188" s="7"/>
      <c r="M188" s="7"/>
    </row>
    <row r="189" spans="1:13" x14ac:dyDescent="0.2">
      <c r="A189" s="6" t="str">
        <f t="shared" si="2"/>
        <v/>
      </c>
      <c r="B189" s="3"/>
      <c r="C189" s="6" t="str">
        <f>IFERROR(VLOOKUP(B189,メニュー!$B$3:$C$12,2,FALSE),"")</f>
        <v/>
      </c>
      <c r="D189" s="3"/>
      <c r="E189" s="6" t="str">
        <f>IFERROR(VLOOKUP(D189,メニュー!$D$3:$E$4,2,FALSE),"")</f>
        <v/>
      </c>
      <c r="F189" s="3"/>
      <c r="G189" s="6"/>
      <c r="H189" s="3"/>
      <c r="I189" s="6" t="str">
        <f>IFERROR(IF(F189&lt;&gt;"通信機器購入なし",VLOOKUP(F189&amp;H189,メニュー!$H$30:$I$39,2,0),VLOOKUP(D189&amp;F189&amp;H189,メニュー!$H$25:$I$26,2,0)),"")</f>
        <v/>
      </c>
      <c r="J189" s="7"/>
      <c r="K189" s="7"/>
      <c r="L189" s="7"/>
      <c r="M189" s="7"/>
    </row>
    <row r="190" spans="1:13" x14ac:dyDescent="0.2">
      <c r="A190" s="6" t="str">
        <f t="shared" si="2"/>
        <v/>
      </c>
      <c r="B190" s="3"/>
      <c r="C190" s="6" t="str">
        <f>IFERROR(VLOOKUP(B190,メニュー!$B$3:$C$12,2,FALSE),"")</f>
        <v/>
      </c>
      <c r="D190" s="3"/>
      <c r="E190" s="6" t="str">
        <f>IFERROR(VLOOKUP(D190,メニュー!$D$3:$E$4,2,FALSE),"")</f>
        <v/>
      </c>
      <c r="F190" s="3"/>
      <c r="G190" s="6"/>
      <c r="H190" s="3"/>
      <c r="I190" s="6" t="str">
        <f>IFERROR(IF(F190&lt;&gt;"通信機器購入なし",VLOOKUP(F190&amp;H190,メニュー!$H$30:$I$39,2,0),VLOOKUP(D190&amp;F190&amp;H190,メニュー!$H$25:$I$26,2,0)),"")</f>
        <v/>
      </c>
      <c r="J190" s="7"/>
      <c r="K190" s="7"/>
      <c r="L190" s="7"/>
      <c r="M190" s="7"/>
    </row>
    <row r="191" spans="1:13" x14ac:dyDescent="0.2">
      <c r="A191" s="6" t="str">
        <f t="shared" si="2"/>
        <v/>
      </c>
      <c r="B191" s="3"/>
      <c r="C191" s="6" t="str">
        <f>IFERROR(VLOOKUP(B191,メニュー!$B$3:$C$12,2,FALSE),"")</f>
        <v/>
      </c>
      <c r="D191" s="3"/>
      <c r="E191" s="6" t="str">
        <f>IFERROR(VLOOKUP(D191,メニュー!$D$3:$E$4,2,FALSE),"")</f>
        <v/>
      </c>
      <c r="F191" s="3"/>
      <c r="G191" s="6"/>
      <c r="H191" s="3"/>
      <c r="I191" s="6" t="str">
        <f>IFERROR(IF(F191&lt;&gt;"通信機器購入なし",VLOOKUP(F191&amp;H191,メニュー!$H$30:$I$39,2,0),VLOOKUP(D191&amp;F191&amp;H191,メニュー!$H$25:$I$26,2,0)),"")</f>
        <v/>
      </c>
      <c r="J191" s="7"/>
      <c r="K191" s="7"/>
      <c r="L191" s="7"/>
      <c r="M191" s="7"/>
    </row>
    <row r="192" spans="1:13" x14ac:dyDescent="0.2">
      <c r="A192" s="6" t="str">
        <f t="shared" si="2"/>
        <v/>
      </c>
      <c r="B192" s="3"/>
      <c r="C192" s="6" t="str">
        <f>IFERROR(VLOOKUP(B192,メニュー!$B$3:$C$12,2,FALSE),"")</f>
        <v/>
      </c>
      <c r="D192" s="3"/>
      <c r="E192" s="6" t="str">
        <f>IFERROR(VLOOKUP(D192,メニュー!$D$3:$E$4,2,FALSE),"")</f>
        <v/>
      </c>
      <c r="F192" s="3"/>
      <c r="G192" s="6"/>
      <c r="H192" s="3"/>
      <c r="I192" s="6" t="str">
        <f>IFERROR(IF(F192&lt;&gt;"通信機器購入なし",VLOOKUP(F192&amp;H192,メニュー!$H$30:$I$39,2,0),VLOOKUP(D192&amp;F192&amp;H192,メニュー!$H$25:$I$26,2,0)),"")</f>
        <v/>
      </c>
      <c r="J192" s="7"/>
      <c r="K192" s="7"/>
      <c r="L192" s="7"/>
      <c r="M192" s="7"/>
    </row>
    <row r="193" spans="1:13" x14ac:dyDescent="0.2">
      <c r="A193" s="6" t="str">
        <f t="shared" si="2"/>
        <v/>
      </c>
      <c r="B193" s="3"/>
      <c r="C193" s="6" t="str">
        <f>IFERROR(VLOOKUP(B193,メニュー!$B$3:$C$12,2,FALSE),"")</f>
        <v/>
      </c>
      <c r="D193" s="3"/>
      <c r="E193" s="6" t="str">
        <f>IFERROR(VLOOKUP(D193,メニュー!$D$3:$E$4,2,FALSE),"")</f>
        <v/>
      </c>
      <c r="F193" s="3"/>
      <c r="G193" s="6"/>
      <c r="H193" s="3"/>
      <c r="I193" s="6" t="str">
        <f>IFERROR(IF(F193&lt;&gt;"通信機器購入なし",VLOOKUP(F193&amp;H193,メニュー!$H$30:$I$39,2,0),VLOOKUP(D193&amp;F193&amp;H193,メニュー!$H$25:$I$26,2,0)),"")</f>
        <v/>
      </c>
      <c r="J193" s="7"/>
      <c r="K193" s="7"/>
      <c r="L193" s="7"/>
      <c r="M193" s="7"/>
    </row>
    <row r="194" spans="1:13" x14ac:dyDescent="0.2">
      <c r="A194" s="6" t="str">
        <f t="shared" si="2"/>
        <v/>
      </c>
      <c r="B194" s="3"/>
      <c r="C194" s="6" t="str">
        <f>IFERROR(VLOOKUP(B194,メニュー!$B$3:$C$12,2,FALSE),"")</f>
        <v/>
      </c>
      <c r="D194" s="3"/>
      <c r="E194" s="6" t="str">
        <f>IFERROR(VLOOKUP(D194,メニュー!$D$3:$E$4,2,FALSE),"")</f>
        <v/>
      </c>
      <c r="F194" s="3"/>
      <c r="G194" s="6"/>
      <c r="H194" s="3"/>
      <c r="I194" s="6" t="str">
        <f>IFERROR(IF(F194&lt;&gt;"通信機器購入なし",VLOOKUP(F194&amp;H194,メニュー!$H$30:$I$39,2,0),VLOOKUP(D194&amp;F194&amp;H194,メニュー!$H$25:$I$26,2,0)),"")</f>
        <v/>
      </c>
      <c r="J194" s="7"/>
      <c r="K194" s="7"/>
      <c r="L194" s="7"/>
      <c r="M194" s="7"/>
    </row>
    <row r="195" spans="1:13" x14ac:dyDescent="0.2">
      <c r="A195" s="6" t="str">
        <f t="shared" si="2"/>
        <v/>
      </c>
      <c r="B195" s="3"/>
      <c r="C195" s="6" t="str">
        <f>IFERROR(VLOOKUP(B195,メニュー!$B$3:$C$12,2,FALSE),"")</f>
        <v/>
      </c>
      <c r="D195" s="3"/>
      <c r="E195" s="6" t="str">
        <f>IFERROR(VLOOKUP(D195,メニュー!$D$3:$E$4,2,FALSE),"")</f>
        <v/>
      </c>
      <c r="F195" s="3"/>
      <c r="G195" s="6"/>
      <c r="H195" s="3"/>
      <c r="I195" s="6" t="str">
        <f>IFERROR(IF(F195&lt;&gt;"通信機器購入なし",VLOOKUP(F195&amp;H195,メニュー!$H$30:$I$39,2,0),VLOOKUP(D195&amp;F195&amp;H195,メニュー!$H$25:$I$26,2,0)),"")</f>
        <v/>
      </c>
      <c r="J195" s="7"/>
      <c r="K195" s="7"/>
      <c r="L195" s="7"/>
      <c r="M195" s="7"/>
    </row>
    <row r="196" spans="1:13" x14ac:dyDescent="0.2">
      <c r="A196" s="6" t="str">
        <f t="shared" ref="A196:A255" si="3">IF(B196="","",ROW()-1)</f>
        <v/>
      </c>
      <c r="B196" s="3"/>
      <c r="C196" s="6" t="str">
        <f>IFERROR(VLOOKUP(B196,メニュー!$B$3:$C$12,2,FALSE),"")</f>
        <v/>
      </c>
      <c r="D196" s="3"/>
      <c r="E196" s="6" t="str">
        <f>IFERROR(VLOOKUP(D196,メニュー!$D$3:$E$4,2,FALSE),"")</f>
        <v/>
      </c>
      <c r="F196" s="3"/>
      <c r="G196" s="6"/>
      <c r="H196" s="3"/>
      <c r="I196" s="6" t="str">
        <f>IFERROR(IF(F196&lt;&gt;"通信機器購入なし",VLOOKUP(F196&amp;H196,メニュー!$H$30:$I$39,2,0),VLOOKUP(D196&amp;F196&amp;H196,メニュー!$H$25:$I$26,2,0)),"")</f>
        <v/>
      </c>
      <c r="J196" s="7"/>
      <c r="K196" s="7"/>
      <c r="L196" s="7"/>
      <c r="M196" s="7"/>
    </row>
    <row r="197" spans="1:13" x14ac:dyDescent="0.2">
      <c r="A197" s="6" t="str">
        <f t="shared" si="3"/>
        <v/>
      </c>
      <c r="B197" s="3"/>
      <c r="C197" s="6" t="str">
        <f>IFERROR(VLOOKUP(B197,メニュー!$B$3:$C$12,2,FALSE),"")</f>
        <v/>
      </c>
      <c r="D197" s="3"/>
      <c r="E197" s="6" t="str">
        <f>IFERROR(VLOOKUP(D197,メニュー!$D$3:$E$4,2,FALSE),"")</f>
        <v/>
      </c>
      <c r="F197" s="3"/>
      <c r="G197" s="6"/>
      <c r="H197" s="3"/>
      <c r="I197" s="6" t="str">
        <f>IFERROR(IF(F197&lt;&gt;"通信機器購入なし",VLOOKUP(F197&amp;H197,メニュー!$H$30:$I$39,2,0),VLOOKUP(D197&amp;F197&amp;H197,メニュー!$H$25:$I$26,2,0)),"")</f>
        <v/>
      </c>
      <c r="J197" s="7"/>
      <c r="K197" s="7"/>
      <c r="L197" s="7"/>
      <c r="M197" s="7"/>
    </row>
    <row r="198" spans="1:13" x14ac:dyDescent="0.2">
      <c r="A198" s="6" t="str">
        <f t="shared" si="3"/>
        <v/>
      </c>
      <c r="B198" s="3"/>
      <c r="C198" s="6" t="str">
        <f>IFERROR(VLOOKUP(B198,メニュー!$B$3:$C$12,2,FALSE),"")</f>
        <v/>
      </c>
      <c r="D198" s="3"/>
      <c r="E198" s="6" t="str">
        <f>IFERROR(VLOOKUP(D198,メニュー!$D$3:$E$4,2,FALSE),"")</f>
        <v/>
      </c>
      <c r="F198" s="3"/>
      <c r="G198" s="6"/>
      <c r="H198" s="3"/>
      <c r="I198" s="6" t="str">
        <f>IFERROR(IF(F198&lt;&gt;"通信機器購入なし",VLOOKUP(F198&amp;H198,メニュー!$H$30:$I$39,2,0),VLOOKUP(D198&amp;F198&amp;H198,メニュー!$H$25:$I$26,2,0)),"")</f>
        <v/>
      </c>
      <c r="J198" s="7"/>
      <c r="K198" s="7"/>
      <c r="L198" s="7"/>
      <c r="M198" s="7"/>
    </row>
    <row r="199" spans="1:13" x14ac:dyDescent="0.2">
      <c r="A199" s="6" t="str">
        <f t="shared" si="3"/>
        <v/>
      </c>
      <c r="B199" s="3"/>
      <c r="C199" s="6" t="str">
        <f>IFERROR(VLOOKUP(B199,メニュー!$B$3:$C$12,2,FALSE),"")</f>
        <v/>
      </c>
      <c r="D199" s="3"/>
      <c r="E199" s="6" t="str">
        <f>IFERROR(VLOOKUP(D199,メニュー!$D$3:$E$4,2,FALSE),"")</f>
        <v/>
      </c>
      <c r="F199" s="3"/>
      <c r="G199" s="6"/>
      <c r="H199" s="3"/>
      <c r="I199" s="6" t="str">
        <f>IFERROR(IF(F199&lt;&gt;"通信機器購入なし",VLOOKUP(F199&amp;H199,メニュー!$H$30:$I$39,2,0),VLOOKUP(D199&amp;F199&amp;H199,メニュー!$H$25:$I$26,2,0)),"")</f>
        <v/>
      </c>
      <c r="J199" s="7"/>
      <c r="K199" s="7"/>
      <c r="L199" s="7"/>
      <c r="M199" s="7"/>
    </row>
    <row r="200" spans="1:13" x14ac:dyDescent="0.2">
      <c r="A200" s="6" t="str">
        <f t="shared" si="3"/>
        <v/>
      </c>
      <c r="B200" s="3"/>
      <c r="C200" s="6" t="str">
        <f>IFERROR(VLOOKUP(B200,メニュー!$B$3:$C$12,2,FALSE),"")</f>
        <v/>
      </c>
      <c r="D200" s="3"/>
      <c r="E200" s="6" t="str">
        <f>IFERROR(VLOOKUP(D200,メニュー!$D$3:$E$4,2,FALSE),"")</f>
        <v/>
      </c>
      <c r="F200" s="3"/>
      <c r="G200" s="6"/>
      <c r="H200" s="3"/>
      <c r="I200" s="6" t="str">
        <f>IFERROR(IF(F200&lt;&gt;"通信機器購入なし",VLOOKUP(F200&amp;H200,メニュー!$H$30:$I$39,2,0),VLOOKUP(D200&amp;F200&amp;H200,メニュー!$H$25:$I$26,2,0)),"")</f>
        <v/>
      </c>
      <c r="J200" s="7"/>
      <c r="K200" s="7"/>
      <c r="L200" s="7"/>
      <c r="M200" s="7"/>
    </row>
    <row r="201" spans="1:13" x14ac:dyDescent="0.2">
      <c r="A201" s="6" t="str">
        <f t="shared" si="3"/>
        <v/>
      </c>
      <c r="B201" s="3"/>
      <c r="C201" s="6" t="str">
        <f>IFERROR(VLOOKUP(B201,メニュー!$B$3:$C$12,2,FALSE),"")</f>
        <v/>
      </c>
      <c r="D201" s="3"/>
      <c r="E201" s="6" t="str">
        <f>IFERROR(VLOOKUP(D201,メニュー!$D$3:$E$4,2,FALSE),"")</f>
        <v/>
      </c>
      <c r="F201" s="3"/>
      <c r="G201" s="6"/>
      <c r="H201" s="3"/>
      <c r="I201" s="6" t="str">
        <f>IFERROR(IF(F201&lt;&gt;"通信機器購入なし",VLOOKUP(F201&amp;H201,メニュー!$H$30:$I$39,2,0),VLOOKUP(D201&amp;F201&amp;H201,メニュー!$H$25:$I$26,2,0)),"")</f>
        <v/>
      </c>
      <c r="J201" s="7"/>
      <c r="K201" s="7"/>
      <c r="L201" s="7"/>
      <c r="M201" s="7"/>
    </row>
    <row r="202" spans="1:13" x14ac:dyDescent="0.2">
      <c r="A202" s="6" t="str">
        <f t="shared" si="3"/>
        <v/>
      </c>
      <c r="B202" s="3"/>
      <c r="C202" s="6" t="str">
        <f>IFERROR(VLOOKUP(B202,メニュー!$B$3:$C$12,2,FALSE),"")</f>
        <v/>
      </c>
      <c r="D202" s="3"/>
      <c r="E202" s="6" t="str">
        <f>IFERROR(VLOOKUP(D202,メニュー!$D$3:$E$4,2,FALSE),"")</f>
        <v/>
      </c>
      <c r="F202" s="3"/>
      <c r="G202" s="6"/>
      <c r="H202" s="3"/>
      <c r="I202" s="6" t="str">
        <f>IFERROR(IF(F202&lt;&gt;"通信機器購入なし",VLOOKUP(F202&amp;H202,メニュー!$H$30:$I$39,2,0),VLOOKUP(D202&amp;F202&amp;H202,メニュー!$H$25:$I$26,2,0)),"")</f>
        <v/>
      </c>
      <c r="J202" s="7"/>
      <c r="K202" s="7"/>
      <c r="L202" s="7"/>
      <c r="M202" s="7"/>
    </row>
    <row r="203" spans="1:13" x14ac:dyDescent="0.2">
      <c r="A203" s="6" t="str">
        <f t="shared" si="3"/>
        <v/>
      </c>
      <c r="B203" s="3"/>
      <c r="C203" s="6" t="str">
        <f>IFERROR(VLOOKUP(B203,メニュー!$B$3:$C$12,2,FALSE),"")</f>
        <v/>
      </c>
      <c r="D203" s="3"/>
      <c r="E203" s="6" t="str">
        <f>IFERROR(VLOOKUP(D203,メニュー!$D$3:$E$4,2,FALSE),"")</f>
        <v/>
      </c>
      <c r="F203" s="3"/>
      <c r="G203" s="6"/>
      <c r="H203" s="3"/>
      <c r="I203" s="6" t="str">
        <f>IFERROR(IF(F203&lt;&gt;"通信機器購入なし",VLOOKUP(F203&amp;H203,メニュー!$H$30:$I$39,2,0),VLOOKUP(D203&amp;F203&amp;H203,メニュー!$H$25:$I$26,2,0)),"")</f>
        <v/>
      </c>
      <c r="J203" s="7"/>
      <c r="K203" s="7"/>
      <c r="L203" s="7"/>
      <c r="M203" s="7"/>
    </row>
    <row r="204" spans="1:13" x14ac:dyDescent="0.2">
      <c r="A204" s="6" t="str">
        <f t="shared" si="3"/>
        <v/>
      </c>
      <c r="B204" s="3"/>
      <c r="C204" s="6" t="str">
        <f>IFERROR(VLOOKUP(B204,メニュー!$B$3:$C$12,2,FALSE),"")</f>
        <v/>
      </c>
      <c r="D204" s="3"/>
      <c r="E204" s="6" t="str">
        <f>IFERROR(VLOOKUP(D204,メニュー!$D$3:$E$4,2,FALSE),"")</f>
        <v/>
      </c>
      <c r="F204" s="3"/>
      <c r="G204" s="6"/>
      <c r="H204" s="3"/>
      <c r="I204" s="6" t="str">
        <f>IFERROR(IF(F204&lt;&gt;"通信機器購入なし",VLOOKUP(F204&amp;H204,メニュー!$H$30:$I$39,2,0),VLOOKUP(D204&amp;F204&amp;H204,メニュー!$H$25:$I$26,2,0)),"")</f>
        <v/>
      </c>
      <c r="J204" s="7"/>
      <c r="K204" s="7"/>
      <c r="L204" s="7"/>
      <c r="M204" s="7"/>
    </row>
    <row r="205" spans="1:13" x14ac:dyDescent="0.2">
      <c r="A205" s="6" t="str">
        <f t="shared" si="3"/>
        <v/>
      </c>
      <c r="B205" s="3"/>
      <c r="C205" s="6" t="str">
        <f>IFERROR(VLOOKUP(B205,メニュー!$B$3:$C$12,2,FALSE),"")</f>
        <v/>
      </c>
      <c r="D205" s="3"/>
      <c r="E205" s="6" t="str">
        <f>IFERROR(VLOOKUP(D205,メニュー!$D$3:$E$4,2,FALSE),"")</f>
        <v/>
      </c>
      <c r="F205" s="3"/>
      <c r="G205" s="6"/>
      <c r="H205" s="3"/>
      <c r="I205" s="6" t="str">
        <f>IFERROR(IF(F205&lt;&gt;"通信機器購入なし",VLOOKUP(F205&amp;H205,メニュー!$H$30:$I$39,2,0),VLOOKUP(D205&amp;F205&amp;H205,メニュー!$H$25:$I$26,2,0)),"")</f>
        <v/>
      </c>
      <c r="J205" s="7"/>
      <c r="K205" s="7"/>
      <c r="L205" s="7"/>
      <c r="M205" s="7"/>
    </row>
    <row r="206" spans="1:13" x14ac:dyDescent="0.2">
      <c r="A206" s="6" t="str">
        <f t="shared" si="3"/>
        <v/>
      </c>
      <c r="B206" s="3"/>
      <c r="C206" s="6" t="str">
        <f>IFERROR(VLOOKUP(B206,メニュー!$B$3:$C$12,2,FALSE),"")</f>
        <v/>
      </c>
      <c r="D206" s="3"/>
      <c r="E206" s="6" t="str">
        <f>IFERROR(VLOOKUP(D206,メニュー!$D$3:$E$4,2,FALSE),"")</f>
        <v/>
      </c>
      <c r="F206" s="3"/>
      <c r="G206" s="6"/>
      <c r="H206" s="3"/>
      <c r="I206" s="6" t="str">
        <f>IFERROR(IF(F206&lt;&gt;"通信機器購入なし",VLOOKUP(F206&amp;H206,メニュー!$H$30:$I$39,2,0),VLOOKUP(D206&amp;F206&amp;H206,メニュー!$H$25:$I$26,2,0)),"")</f>
        <v/>
      </c>
      <c r="J206" s="7"/>
      <c r="K206" s="7"/>
      <c r="L206" s="7"/>
      <c r="M206" s="7"/>
    </row>
    <row r="207" spans="1:13" x14ac:dyDescent="0.2">
      <c r="A207" s="6" t="str">
        <f t="shared" si="3"/>
        <v/>
      </c>
      <c r="B207" s="3"/>
      <c r="C207" s="6" t="str">
        <f>IFERROR(VLOOKUP(B207,メニュー!$B$3:$C$12,2,FALSE),"")</f>
        <v/>
      </c>
      <c r="D207" s="3"/>
      <c r="E207" s="6" t="str">
        <f>IFERROR(VLOOKUP(D207,メニュー!$D$3:$E$4,2,FALSE),"")</f>
        <v/>
      </c>
      <c r="F207" s="3"/>
      <c r="G207" s="6"/>
      <c r="H207" s="3"/>
      <c r="I207" s="6" t="str">
        <f>IFERROR(IF(F207&lt;&gt;"通信機器購入なし",VLOOKUP(F207&amp;H207,メニュー!$H$30:$I$39,2,0),VLOOKUP(D207&amp;F207&amp;H207,メニュー!$H$25:$I$26,2,0)),"")</f>
        <v/>
      </c>
      <c r="J207" s="7"/>
      <c r="K207" s="7"/>
      <c r="L207" s="7"/>
      <c r="M207" s="7"/>
    </row>
    <row r="208" spans="1:13" x14ac:dyDescent="0.2">
      <c r="A208" s="6" t="str">
        <f t="shared" si="3"/>
        <v/>
      </c>
      <c r="B208" s="3"/>
      <c r="C208" s="6" t="str">
        <f>IFERROR(VLOOKUP(B208,メニュー!$B$3:$C$12,2,FALSE),"")</f>
        <v/>
      </c>
      <c r="D208" s="3"/>
      <c r="E208" s="6" t="str">
        <f>IFERROR(VLOOKUP(D208,メニュー!$D$3:$E$4,2,FALSE),"")</f>
        <v/>
      </c>
      <c r="F208" s="3"/>
      <c r="G208" s="6"/>
      <c r="H208" s="3"/>
      <c r="I208" s="6" t="str">
        <f>IFERROR(IF(F208&lt;&gt;"通信機器購入なし",VLOOKUP(F208&amp;H208,メニュー!$H$30:$I$39,2,0),VLOOKUP(D208&amp;F208&amp;H208,メニュー!$H$25:$I$26,2,0)),"")</f>
        <v/>
      </c>
      <c r="J208" s="7"/>
      <c r="K208" s="7"/>
      <c r="L208" s="7"/>
      <c r="M208" s="7"/>
    </row>
    <row r="209" spans="1:13" x14ac:dyDescent="0.2">
      <c r="A209" s="6" t="str">
        <f t="shared" si="3"/>
        <v/>
      </c>
      <c r="B209" s="3"/>
      <c r="C209" s="6" t="str">
        <f>IFERROR(VLOOKUP(B209,メニュー!$B$3:$C$12,2,FALSE),"")</f>
        <v/>
      </c>
      <c r="D209" s="3"/>
      <c r="E209" s="6" t="str">
        <f>IFERROR(VLOOKUP(D209,メニュー!$D$3:$E$4,2,FALSE),"")</f>
        <v/>
      </c>
      <c r="F209" s="3"/>
      <c r="G209" s="6"/>
      <c r="H209" s="3"/>
      <c r="I209" s="6" t="str">
        <f>IFERROR(IF(F209&lt;&gt;"通信機器購入なし",VLOOKUP(F209&amp;H209,メニュー!$H$30:$I$39,2,0),VLOOKUP(D209&amp;F209&amp;H209,メニュー!$H$25:$I$26,2,0)),"")</f>
        <v/>
      </c>
      <c r="J209" s="7"/>
      <c r="K209" s="7"/>
      <c r="L209" s="7"/>
      <c r="M209" s="7"/>
    </row>
    <row r="210" spans="1:13" x14ac:dyDescent="0.2">
      <c r="A210" s="6" t="str">
        <f t="shared" si="3"/>
        <v/>
      </c>
      <c r="B210" s="3"/>
      <c r="C210" s="6" t="str">
        <f>IFERROR(VLOOKUP(B210,メニュー!$B$3:$C$12,2,FALSE),"")</f>
        <v/>
      </c>
      <c r="D210" s="3"/>
      <c r="E210" s="6" t="str">
        <f>IFERROR(VLOOKUP(D210,メニュー!$D$3:$E$4,2,FALSE),"")</f>
        <v/>
      </c>
      <c r="F210" s="3"/>
      <c r="G210" s="6"/>
      <c r="H210" s="3"/>
      <c r="I210" s="6" t="str">
        <f>IFERROR(IF(F210&lt;&gt;"通信機器購入なし",VLOOKUP(F210&amp;H210,メニュー!$H$30:$I$39,2,0),VLOOKUP(D210&amp;F210&amp;H210,メニュー!$H$25:$I$26,2,0)),"")</f>
        <v/>
      </c>
      <c r="J210" s="7"/>
      <c r="K210" s="7"/>
      <c r="L210" s="7"/>
      <c r="M210" s="7"/>
    </row>
    <row r="211" spans="1:13" x14ac:dyDescent="0.2">
      <c r="A211" s="6" t="str">
        <f t="shared" si="3"/>
        <v/>
      </c>
      <c r="B211" s="3"/>
      <c r="C211" s="6" t="str">
        <f>IFERROR(VLOOKUP(B211,メニュー!$B$3:$C$12,2,FALSE),"")</f>
        <v/>
      </c>
      <c r="D211" s="3"/>
      <c r="E211" s="6" t="str">
        <f>IFERROR(VLOOKUP(D211,メニュー!$D$3:$E$4,2,FALSE),"")</f>
        <v/>
      </c>
      <c r="F211" s="3"/>
      <c r="G211" s="6"/>
      <c r="H211" s="3"/>
      <c r="I211" s="6" t="str">
        <f>IFERROR(IF(F211&lt;&gt;"通信機器購入なし",VLOOKUP(F211&amp;H211,メニュー!$H$30:$I$39,2,0),VLOOKUP(D211&amp;F211&amp;H211,メニュー!$H$25:$I$26,2,0)),"")</f>
        <v/>
      </c>
      <c r="J211" s="7"/>
      <c r="K211" s="7"/>
      <c r="L211" s="7"/>
      <c r="M211" s="7"/>
    </row>
    <row r="212" spans="1:13" x14ac:dyDescent="0.2">
      <c r="A212" s="6" t="str">
        <f t="shared" si="3"/>
        <v/>
      </c>
      <c r="B212" s="3"/>
      <c r="C212" s="6" t="str">
        <f>IFERROR(VLOOKUP(B212,メニュー!$B$3:$C$12,2,FALSE),"")</f>
        <v/>
      </c>
      <c r="D212" s="3"/>
      <c r="E212" s="6" t="str">
        <f>IFERROR(VLOOKUP(D212,メニュー!$D$3:$E$4,2,FALSE),"")</f>
        <v/>
      </c>
      <c r="F212" s="3"/>
      <c r="G212" s="6"/>
      <c r="H212" s="3"/>
      <c r="I212" s="6" t="str">
        <f>IFERROR(IF(F212&lt;&gt;"通信機器購入なし",VLOOKUP(F212&amp;H212,メニュー!$H$30:$I$39,2,0),VLOOKUP(D212&amp;F212&amp;H212,メニュー!$H$25:$I$26,2,0)),"")</f>
        <v/>
      </c>
      <c r="J212" s="7"/>
      <c r="K212" s="7"/>
      <c r="L212" s="7"/>
      <c r="M212" s="7"/>
    </row>
    <row r="213" spans="1:13" x14ac:dyDescent="0.2">
      <c r="A213" s="6" t="str">
        <f t="shared" si="3"/>
        <v/>
      </c>
      <c r="B213" s="3"/>
      <c r="C213" s="6" t="str">
        <f>IFERROR(VLOOKUP(B213,メニュー!$B$3:$C$12,2,FALSE),"")</f>
        <v/>
      </c>
      <c r="D213" s="3"/>
      <c r="E213" s="6" t="str">
        <f>IFERROR(VLOOKUP(D213,メニュー!$D$3:$E$4,2,FALSE),"")</f>
        <v/>
      </c>
      <c r="F213" s="3"/>
      <c r="G213" s="6"/>
      <c r="H213" s="3"/>
      <c r="I213" s="6" t="str">
        <f>IFERROR(IF(F213&lt;&gt;"通信機器購入なし",VLOOKUP(F213&amp;H213,メニュー!$H$30:$I$39,2,0),VLOOKUP(D213&amp;F213&amp;H213,メニュー!$H$25:$I$26,2,0)),"")</f>
        <v/>
      </c>
      <c r="J213" s="7"/>
      <c r="K213" s="7"/>
      <c r="L213" s="7"/>
      <c r="M213" s="7"/>
    </row>
    <row r="214" spans="1:13" x14ac:dyDescent="0.2">
      <c r="A214" s="6" t="str">
        <f t="shared" si="3"/>
        <v/>
      </c>
      <c r="B214" s="3"/>
      <c r="C214" s="6" t="str">
        <f>IFERROR(VLOOKUP(B214,メニュー!$B$3:$C$12,2,FALSE),"")</f>
        <v/>
      </c>
      <c r="D214" s="3"/>
      <c r="E214" s="6" t="str">
        <f>IFERROR(VLOOKUP(D214,メニュー!$D$3:$E$4,2,FALSE),"")</f>
        <v/>
      </c>
      <c r="F214" s="3"/>
      <c r="G214" s="6"/>
      <c r="H214" s="3"/>
      <c r="I214" s="6" t="str">
        <f>IFERROR(IF(F214&lt;&gt;"通信機器購入なし",VLOOKUP(F214&amp;H214,メニュー!$H$30:$I$39,2,0),VLOOKUP(D214&amp;F214&amp;H214,メニュー!$H$25:$I$26,2,0)),"")</f>
        <v/>
      </c>
      <c r="J214" s="7"/>
      <c r="K214" s="7"/>
      <c r="L214" s="7"/>
      <c r="M214" s="7"/>
    </row>
    <row r="215" spans="1:13" x14ac:dyDescent="0.2">
      <c r="A215" s="6" t="str">
        <f t="shared" si="3"/>
        <v/>
      </c>
      <c r="B215" s="3"/>
      <c r="C215" s="6" t="str">
        <f>IFERROR(VLOOKUP(B215,メニュー!$B$3:$C$12,2,FALSE),"")</f>
        <v/>
      </c>
      <c r="D215" s="3"/>
      <c r="E215" s="6" t="str">
        <f>IFERROR(VLOOKUP(D215,メニュー!$D$3:$E$4,2,FALSE),"")</f>
        <v/>
      </c>
      <c r="F215" s="3"/>
      <c r="G215" s="6"/>
      <c r="H215" s="3"/>
      <c r="I215" s="6" t="str">
        <f>IFERROR(IF(F215&lt;&gt;"通信機器購入なし",VLOOKUP(F215&amp;H215,メニュー!$H$30:$I$39,2,0),VLOOKUP(D215&amp;F215&amp;H215,メニュー!$H$25:$I$26,2,0)),"")</f>
        <v/>
      </c>
      <c r="J215" s="7"/>
      <c r="K215" s="7"/>
      <c r="L215" s="7"/>
      <c r="M215" s="7"/>
    </row>
    <row r="216" spans="1:13" x14ac:dyDescent="0.2">
      <c r="A216" s="6" t="str">
        <f t="shared" si="3"/>
        <v/>
      </c>
      <c r="B216" s="3"/>
      <c r="C216" s="6" t="str">
        <f>IFERROR(VLOOKUP(B216,メニュー!$B$3:$C$12,2,FALSE),"")</f>
        <v/>
      </c>
      <c r="D216" s="3"/>
      <c r="E216" s="6" t="str">
        <f>IFERROR(VLOOKUP(D216,メニュー!$D$3:$E$4,2,FALSE),"")</f>
        <v/>
      </c>
      <c r="F216" s="3"/>
      <c r="G216" s="6"/>
      <c r="H216" s="3"/>
      <c r="I216" s="6" t="str">
        <f>IFERROR(IF(F216&lt;&gt;"通信機器購入なし",VLOOKUP(F216&amp;H216,メニュー!$H$30:$I$39,2,0),VLOOKUP(D216&amp;F216&amp;H216,メニュー!$H$25:$I$26,2,0)),"")</f>
        <v/>
      </c>
      <c r="J216" s="7"/>
      <c r="K216" s="7"/>
      <c r="L216" s="7"/>
      <c r="M216" s="7"/>
    </row>
    <row r="217" spans="1:13" x14ac:dyDescent="0.2">
      <c r="A217" s="6" t="str">
        <f t="shared" si="3"/>
        <v/>
      </c>
      <c r="B217" s="3"/>
      <c r="C217" s="6" t="str">
        <f>IFERROR(VLOOKUP(B217,メニュー!$B$3:$C$12,2,FALSE),"")</f>
        <v/>
      </c>
      <c r="D217" s="3"/>
      <c r="E217" s="6" t="str">
        <f>IFERROR(VLOOKUP(D217,メニュー!$D$3:$E$4,2,FALSE),"")</f>
        <v/>
      </c>
      <c r="F217" s="3"/>
      <c r="G217" s="6"/>
      <c r="H217" s="3"/>
      <c r="I217" s="6" t="str">
        <f>IFERROR(IF(F217&lt;&gt;"通信機器購入なし",VLOOKUP(F217&amp;H217,メニュー!$H$30:$I$39,2,0),VLOOKUP(D217&amp;F217&amp;H217,メニュー!$H$25:$I$26,2,0)),"")</f>
        <v/>
      </c>
      <c r="J217" s="7"/>
      <c r="K217" s="7"/>
      <c r="L217" s="7"/>
      <c r="M217" s="7"/>
    </row>
    <row r="218" spans="1:13" x14ac:dyDescent="0.2">
      <c r="A218" s="6" t="str">
        <f t="shared" si="3"/>
        <v/>
      </c>
      <c r="B218" s="3"/>
      <c r="C218" s="6" t="str">
        <f>IFERROR(VLOOKUP(B218,メニュー!$B$3:$C$12,2,FALSE),"")</f>
        <v/>
      </c>
      <c r="D218" s="3"/>
      <c r="E218" s="6" t="str">
        <f>IFERROR(VLOOKUP(D218,メニュー!$D$3:$E$4,2,FALSE),"")</f>
        <v/>
      </c>
      <c r="F218" s="3"/>
      <c r="G218" s="6"/>
      <c r="H218" s="3"/>
      <c r="I218" s="6" t="str">
        <f>IFERROR(IF(F218&lt;&gt;"通信機器購入なし",VLOOKUP(F218&amp;H218,メニュー!$H$30:$I$39,2,0),VLOOKUP(D218&amp;F218&amp;H218,メニュー!$H$25:$I$26,2,0)),"")</f>
        <v/>
      </c>
      <c r="J218" s="7"/>
      <c r="K218" s="7"/>
      <c r="L218" s="7"/>
      <c r="M218" s="7"/>
    </row>
    <row r="219" spans="1:13" x14ac:dyDescent="0.2">
      <c r="A219" s="6" t="str">
        <f t="shared" si="3"/>
        <v/>
      </c>
      <c r="B219" s="3"/>
      <c r="C219" s="6" t="str">
        <f>IFERROR(VLOOKUP(B219,メニュー!$B$3:$C$12,2,FALSE),"")</f>
        <v/>
      </c>
      <c r="D219" s="3"/>
      <c r="E219" s="6" t="str">
        <f>IFERROR(VLOOKUP(D219,メニュー!$D$3:$E$4,2,FALSE),"")</f>
        <v/>
      </c>
      <c r="F219" s="3"/>
      <c r="G219" s="6"/>
      <c r="H219" s="3"/>
      <c r="I219" s="6" t="str">
        <f>IFERROR(IF(F219&lt;&gt;"通信機器購入なし",VLOOKUP(F219&amp;H219,メニュー!$H$30:$I$39,2,0),VLOOKUP(D219&amp;F219&amp;H219,メニュー!$H$25:$I$26,2,0)),"")</f>
        <v/>
      </c>
      <c r="J219" s="7"/>
      <c r="K219" s="7"/>
      <c r="L219" s="7"/>
      <c r="M219" s="7"/>
    </row>
    <row r="220" spans="1:13" x14ac:dyDescent="0.2">
      <c r="A220" s="6" t="str">
        <f t="shared" si="3"/>
        <v/>
      </c>
      <c r="B220" s="3"/>
      <c r="C220" s="6" t="str">
        <f>IFERROR(VLOOKUP(B220,メニュー!$B$3:$C$12,2,FALSE),"")</f>
        <v/>
      </c>
      <c r="D220" s="3"/>
      <c r="E220" s="6" t="str">
        <f>IFERROR(VLOOKUP(D220,メニュー!$D$3:$E$4,2,FALSE),"")</f>
        <v/>
      </c>
      <c r="F220" s="3"/>
      <c r="G220" s="6"/>
      <c r="H220" s="3"/>
      <c r="I220" s="6" t="str">
        <f>IFERROR(IF(F220&lt;&gt;"通信機器購入なし",VLOOKUP(F220&amp;H220,メニュー!$H$30:$I$39,2,0),VLOOKUP(D220&amp;F220&amp;H220,メニュー!$H$25:$I$26,2,0)),"")</f>
        <v/>
      </c>
      <c r="J220" s="7"/>
      <c r="K220" s="7"/>
      <c r="L220" s="7"/>
      <c r="M220" s="7"/>
    </row>
    <row r="221" spans="1:13" x14ac:dyDescent="0.2">
      <c r="A221" s="6" t="str">
        <f t="shared" si="3"/>
        <v/>
      </c>
      <c r="B221" s="3"/>
      <c r="C221" s="6" t="str">
        <f>IFERROR(VLOOKUP(B221,メニュー!$B$3:$C$12,2,FALSE),"")</f>
        <v/>
      </c>
      <c r="D221" s="3"/>
      <c r="E221" s="6" t="str">
        <f>IFERROR(VLOOKUP(D221,メニュー!$D$3:$E$4,2,FALSE),"")</f>
        <v/>
      </c>
      <c r="F221" s="3"/>
      <c r="G221" s="6"/>
      <c r="H221" s="3"/>
      <c r="I221" s="6" t="str">
        <f>IFERROR(IF(F221&lt;&gt;"通信機器購入なし",VLOOKUP(F221&amp;H221,メニュー!$H$30:$I$39,2,0),VLOOKUP(D221&amp;F221&amp;H221,メニュー!$H$25:$I$26,2,0)),"")</f>
        <v/>
      </c>
      <c r="J221" s="7"/>
      <c r="K221" s="7"/>
      <c r="L221" s="7"/>
      <c r="M221" s="7"/>
    </row>
    <row r="222" spans="1:13" x14ac:dyDescent="0.2">
      <c r="A222" s="6" t="str">
        <f t="shared" si="3"/>
        <v/>
      </c>
      <c r="B222" s="3"/>
      <c r="C222" s="6" t="str">
        <f>IFERROR(VLOOKUP(B222,メニュー!$B$3:$C$12,2,FALSE),"")</f>
        <v/>
      </c>
      <c r="D222" s="3"/>
      <c r="E222" s="6" t="str">
        <f>IFERROR(VLOOKUP(D222,メニュー!$D$3:$E$4,2,FALSE),"")</f>
        <v/>
      </c>
      <c r="F222" s="3"/>
      <c r="G222" s="6"/>
      <c r="H222" s="3"/>
      <c r="I222" s="6" t="str">
        <f>IFERROR(IF(F222&lt;&gt;"通信機器購入なし",VLOOKUP(F222&amp;H222,メニュー!$H$30:$I$39,2,0),VLOOKUP(D222&amp;F222&amp;H222,メニュー!$H$25:$I$26,2,0)),"")</f>
        <v/>
      </c>
      <c r="J222" s="7"/>
      <c r="K222" s="7"/>
      <c r="L222" s="7"/>
      <c r="M222" s="7"/>
    </row>
    <row r="223" spans="1:13" x14ac:dyDescent="0.2">
      <c r="A223" s="6" t="str">
        <f t="shared" si="3"/>
        <v/>
      </c>
      <c r="B223" s="3"/>
      <c r="C223" s="6" t="str">
        <f>IFERROR(VLOOKUP(B223,メニュー!$B$3:$C$12,2,FALSE),"")</f>
        <v/>
      </c>
      <c r="D223" s="3"/>
      <c r="E223" s="6" t="str">
        <f>IFERROR(VLOOKUP(D223,メニュー!$D$3:$E$4,2,FALSE),"")</f>
        <v/>
      </c>
      <c r="F223" s="3"/>
      <c r="G223" s="6"/>
      <c r="H223" s="3"/>
      <c r="I223" s="6" t="str">
        <f>IFERROR(IF(F223&lt;&gt;"通信機器購入なし",VLOOKUP(F223&amp;H223,メニュー!$H$30:$I$39,2,0),VLOOKUP(D223&amp;F223&amp;H223,メニュー!$H$25:$I$26,2,0)),"")</f>
        <v/>
      </c>
      <c r="J223" s="7"/>
      <c r="K223" s="7"/>
      <c r="L223" s="7"/>
      <c r="M223" s="7"/>
    </row>
    <row r="224" spans="1:13" x14ac:dyDescent="0.2">
      <c r="A224" s="6" t="str">
        <f t="shared" si="3"/>
        <v/>
      </c>
      <c r="B224" s="3"/>
      <c r="C224" s="6" t="str">
        <f>IFERROR(VLOOKUP(B224,メニュー!$B$3:$C$12,2,FALSE),"")</f>
        <v/>
      </c>
      <c r="D224" s="3"/>
      <c r="E224" s="6" t="str">
        <f>IFERROR(VLOOKUP(D224,メニュー!$D$3:$E$4,2,FALSE),"")</f>
        <v/>
      </c>
      <c r="F224" s="3"/>
      <c r="G224" s="6"/>
      <c r="H224" s="3"/>
      <c r="I224" s="6" t="str">
        <f>IFERROR(IF(F224&lt;&gt;"通信機器購入なし",VLOOKUP(F224&amp;H224,メニュー!$H$30:$I$39,2,0),VLOOKUP(D224&amp;F224&amp;H224,メニュー!$H$25:$I$26,2,0)),"")</f>
        <v/>
      </c>
      <c r="J224" s="7"/>
      <c r="K224" s="7"/>
      <c r="L224" s="7"/>
      <c r="M224" s="7"/>
    </row>
    <row r="225" spans="1:13" x14ac:dyDescent="0.2">
      <c r="A225" s="6" t="str">
        <f t="shared" si="3"/>
        <v/>
      </c>
      <c r="B225" s="3"/>
      <c r="C225" s="6" t="str">
        <f>IFERROR(VLOOKUP(B225,メニュー!$B$3:$C$12,2,FALSE),"")</f>
        <v/>
      </c>
      <c r="D225" s="3"/>
      <c r="E225" s="6" t="str">
        <f>IFERROR(VLOOKUP(D225,メニュー!$D$3:$E$4,2,FALSE),"")</f>
        <v/>
      </c>
      <c r="F225" s="3"/>
      <c r="G225" s="6"/>
      <c r="H225" s="3"/>
      <c r="I225" s="6" t="str">
        <f>IFERROR(IF(F225&lt;&gt;"通信機器購入なし",VLOOKUP(F225&amp;H225,メニュー!$H$30:$I$39,2,0),VLOOKUP(D225&amp;F225&amp;H225,メニュー!$H$25:$I$26,2,0)),"")</f>
        <v/>
      </c>
      <c r="J225" s="7"/>
      <c r="K225" s="7"/>
      <c r="L225" s="7"/>
      <c r="M225" s="7"/>
    </row>
    <row r="226" spans="1:13" x14ac:dyDescent="0.2">
      <c r="A226" s="6" t="str">
        <f t="shared" si="3"/>
        <v/>
      </c>
      <c r="B226" s="3"/>
      <c r="C226" s="6" t="str">
        <f>IFERROR(VLOOKUP(B226,メニュー!$B$3:$C$12,2,FALSE),"")</f>
        <v/>
      </c>
      <c r="D226" s="3"/>
      <c r="E226" s="6" t="str">
        <f>IFERROR(VLOOKUP(D226,メニュー!$D$3:$E$4,2,FALSE),"")</f>
        <v/>
      </c>
      <c r="F226" s="3"/>
      <c r="G226" s="6"/>
      <c r="H226" s="3"/>
      <c r="I226" s="6" t="str">
        <f>IFERROR(IF(F226&lt;&gt;"通信機器購入なし",VLOOKUP(F226&amp;H226,メニュー!$H$30:$I$39,2,0),VLOOKUP(D226&amp;F226&amp;H226,メニュー!$H$25:$I$26,2,0)),"")</f>
        <v/>
      </c>
      <c r="J226" s="7"/>
      <c r="K226" s="7"/>
      <c r="L226" s="7"/>
      <c r="M226" s="7"/>
    </row>
    <row r="227" spans="1:13" x14ac:dyDescent="0.2">
      <c r="A227" s="6" t="str">
        <f t="shared" si="3"/>
        <v/>
      </c>
      <c r="B227" s="3"/>
      <c r="C227" s="6" t="str">
        <f>IFERROR(VLOOKUP(B227,メニュー!$B$3:$C$12,2,FALSE),"")</f>
        <v/>
      </c>
      <c r="D227" s="3"/>
      <c r="E227" s="6" t="str">
        <f>IFERROR(VLOOKUP(D227,メニュー!$D$3:$E$4,2,FALSE),"")</f>
        <v/>
      </c>
      <c r="F227" s="3"/>
      <c r="G227" s="6"/>
      <c r="H227" s="3"/>
      <c r="I227" s="6" t="str">
        <f>IFERROR(IF(F227&lt;&gt;"通信機器購入なし",VLOOKUP(F227&amp;H227,メニュー!$H$30:$I$39,2,0),VLOOKUP(D227&amp;F227&amp;H227,メニュー!$H$25:$I$26,2,0)),"")</f>
        <v/>
      </c>
      <c r="J227" s="7"/>
      <c r="K227" s="7"/>
      <c r="L227" s="7"/>
      <c r="M227" s="7"/>
    </row>
    <row r="228" spans="1:13" x14ac:dyDescent="0.2">
      <c r="A228" s="6" t="str">
        <f t="shared" si="3"/>
        <v/>
      </c>
      <c r="B228" s="3"/>
      <c r="C228" s="6" t="str">
        <f>IFERROR(VLOOKUP(B228,メニュー!$B$3:$C$12,2,FALSE),"")</f>
        <v/>
      </c>
      <c r="D228" s="3"/>
      <c r="E228" s="6" t="str">
        <f>IFERROR(VLOOKUP(D228,メニュー!$D$3:$E$4,2,FALSE),"")</f>
        <v/>
      </c>
      <c r="F228" s="3"/>
      <c r="G228" s="6"/>
      <c r="H228" s="3"/>
      <c r="I228" s="6" t="str">
        <f>IFERROR(IF(F228&lt;&gt;"通信機器購入なし",VLOOKUP(F228&amp;H228,メニュー!$H$30:$I$39,2,0),VLOOKUP(D228&amp;F228&amp;H228,メニュー!$H$25:$I$26,2,0)),"")</f>
        <v/>
      </c>
      <c r="J228" s="7"/>
      <c r="K228" s="7"/>
      <c r="L228" s="7"/>
      <c r="M228" s="7"/>
    </row>
    <row r="229" spans="1:13" x14ac:dyDescent="0.2">
      <c r="A229" s="6" t="str">
        <f t="shared" si="3"/>
        <v/>
      </c>
      <c r="B229" s="3"/>
      <c r="C229" s="6" t="str">
        <f>IFERROR(VLOOKUP(B229,メニュー!$B$3:$C$12,2,FALSE),"")</f>
        <v/>
      </c>
      <c r="D229" s="3"/>
      <c r="E229" s="6" t="str">
        <f>IFERROR(VLOOKUP(D229,メニュー!$D$3:$E$4,2,FALSE),"")</f>
        <v/>
      </c>
      <c r="F229" s="3"/>
      <c r="G229" s="6"/>
      <c r="H229" s="3"/>
      <c r="I229" s="6" t="str">
        <f>IFERROR(IF(F229&lt;&gt;"通信機器購入なし",VLOOKUP(F229&amp;H229,メニュー!$H$30:$I$39,2,0),VLOOKUP(D229&amp;F229&amp;H229,メニュー!$H$25:$I$26,2,0)),"")</f>
        <v/>
      </c>
      <c r="J229" s="7"/>
      <c r="K229" s="7"/>
      <c r="L229" s="7"/>
      <c r="M229" s="7"/>
    </row>
    <row r="230" spans="1:13" x14ac:dyDescent="0.2">
      <c r="A230" s="6" t="str">
        <f t="shared" si="3"/>
        <v/>
      </c>
      <c r="B230" s="3"/>
      <c r="C230" s="6" t="str">
        <f>IFERROR(VLOOKUP(B230,メニュー!$B$3:$C$12,2,FALSE),"")</f>
        <v/>
      </c>
      <c r="D230" s="3"/>
      <c r="E230" s="6" t="str">
        <f>IFERROR(VLOOKUP(D230,メニュー!$D$3:$E$4,2,FALSE),"")</f>
        <v/>
      </c>
      <c r="F230" s="3"/>
      <c r="G230" s="6"/>
      <c r="H230" s="3"/>
      <c r="I230" s="6" t="str">
        <f>IFERROR(IF(F230&lt;&gt;"通信機器購入なし",VLOOKUP(F230&amp;H230,メニュー!$H$30:$I$39,2,0),VLOOKUP(D230&amp;F230&amp;H230,メニュー!$H$25:$I$26,2,0)),"")</f>
        <v/>
      </c>
      <c r="J230" s="7"/>
      <c r="K230" s="7"/>
      <c r="L230" s="7"/>
      <c r="M230" s="7"/>
    </row>
    <row r="231" spans="1:13" x14ac:dyDescent="0.2">
      <c r="A231" s="6" t="str">
        <f t="shared" si="3"/>
        <v/>
      </c>
      <c r="B231" s="3"/>
      <c r="C231" s="6" t="str">
        <f>IFERROR(VLOOKUP(B231,メニュー!$B$3:$C$12,2,FALSE),"")</f>
        <v/>
      </c>
      <c r="D231" s="3"/>
      <c r="E231" s="6" t="str">
        <f>IFERROR(VLOOKUP(D231,メニュー!$D$3:$E$4,2,FALSE),"")</f>
        <v/>
      </c>
      <c r="F231" s="3"/>
      <c r="G231" s="6"/>
      <c r="H231" s="3"/>
      <c r="I231" s="6" t="str">
        <f>IFERROR(IF(F231&lt;&gt;"通信機器購入なし",VLOOKUP(F231&amp;H231,メニュー!$H$30:$I$39,2,0),VLOOKUP(D231&amp;F231&amp;H231,メニュー!$H$25:$I$26,2,0)),"")</f>
        <v/>
      </c>
      <c r="J231" s="7"/>
      <c r="K231" s="7"/>
      <c r="L231" s="7"/>
      <c r="M231" s="7"/>
    </row>
    <row r="232" spans="1:13" x14ac:dyDescent="0.2">
      <c r="A232" s="6" t="str">
        <f t="shared" si="3"/>
        <v/>
      </c>
      <c r="B232" s="3"/>
      <c r="C232" s="6" t="str">
        <f>IFERROR(VLOOKUP(B232,メニュー!$B$3:$C$12,2,FALSE),"")</f>
        <v/>
      </c>
      <c r="D232" s="3"/>
      <c r="E232" s="6" t="str">
        <f>IFERROR(VLOOKUP(D232,メニュー!$D$3:$E$4,2,FALSE),"")</f>
        <v/>
      </c>
      <c r="F232" s="3"/>
      <c r="G232" s="6"/>
      <c r="H232" s="3"/>
      <c r="I232" s="6" t="str">
        <f>IFERROR(IF(F232&lt;&gt;"通信機器購入なし",VLOOKUP(F232&amp;H232,メニュー!$H$30:$I$39,2,0),VLOOKUP(D232&amp;F232&amp;H232,メニュー!$H$25:$I$26,2,0)),"")</f>
        <v/>
      </c>
      <c r="J232" s="7"/>
      <c r="K232" s="7"/>
      <c r="L232" s="7"/>
      <c r="M232" s="7"/>
    </row>
    <row r="233" spans="1:13" x14ac:dyDescent="0.2">
      <c r="A233" s="6" t="str">
        <f t="shared" si="3"/>
        <v/>
      </c>
      <c r="B233" s="3"/>
      <c r="C233" s="6" t="str">
        <f>IFERROR(VLOOKUP(B233,メニュー!$B$3:$C$12,2,FALSE),"")</f>
        <v/>
      </c>
      <c r="D233" s="3"/>
      <c r="E233" s="6" t="str">
        <f>IFERROR(VLOOKUP(D233,メニュー!$D$3:$E$4,2,FALSE),"")</f>
        <v/>
      </c>
      <c r="F233" s="3"/>
      <c r="G233" s="6"/>
      <c r="H233" s="3"/>
      <c r="I233" s="6" t="str">
        <f>IFERROR(IF(F233&lt;&gt;"通信機器購入なし",VLOOKUP(F233&amp;H233,メニュー!$H$30:$I$39,2,0),VLOOKUP(D233&amp;F233&amp;H233,メニュー!$H$25:$I$26,2,0)),"")</f>
        <v/>
      </c>
      <c r="J233" s="7"/>
      <c r="K233" s="7"/>
      <c r="L233" s="7"/>
      <c r="M233" s="7"/>
    </row>
    <row r="234" spans="1:13" x14ac:dyDescent="0.2">
      <c r="A234" s="6" t="str">
        <f t="shared" si="3"/>
        <v/>
      </c>
      <c r="B234" s="3"/>
      <c r="C234" s="6" t="str">
        <f>IFERROR(VLOOKUP(B234,メニュー!$B$3:$C$12,2,FALSE),"")</f>
        <v/>
      </c>
      <c r="D234" s="3"/>
      <c r="E234" s="6" t="str">
        <f>IFERROR(VLOOKUP(D234,メニュー!$D$3:$E$4,2,FALSE),"")</f>
        <v/>
      </c>
      <c r="F234" s="3"/>
      <c r="G234" s="6"/>
      <c r="H234" s="3"/>
      <c r="I234" s="6" t="str">
        <f>IFERROR(IF(F234&lt;&gt;"通信機器購入なし",VLOOKUP(F234&amp;H234,メニュー!$H$30:$I$39,2,0),VLOOKUP(D234&amp;F234&amp;H234,メニュー!$H$25:$I$26,2,0)),"")</f>
        <v/>
      </c>
      <c r="J234" s="7"/>
      <c r="K234" s="7"/>
      <c r="L234" s="7"/>
      <c r="M234" s="7"/>
    </row>
    <row r="235" spans="1:13" x14ac:dyDescent="0.2">
      <c r="A235" s="6" t="str">
        <f t="shared" si="3"/>
        <v/>
      </c>
      <c r="B235" s="3"/>
      <c r="C235" s="6" t="str">
        <f>IFERROR(VLOOKUP(B235,メニュー!$B$3:$C$12,2,FALSE),"")</f>
        <v/>
      </c>
      <c r="D235" s="3"/>
      <c r="E235" s="6" t="str">
        <f>IFERROR(VLOOKUP(D235,メニュー!$D$3:$E$4,2,FALSE),"")</f>
        <v/>
      </c>
      <c r="F235" s="3"/>
      <c r="G235" s="6"/>
      <c r="H235" s="3"/>
      <c r="I235" s="6" t="str">
        <f>IFERROR(IF(F235&lt;&gt;"通信機器購入なし",VLOOKUP(F235&amp;H235,メニュー!$H$30:$I$39,2,0),VLOOKUP(D235&amp;F235&amp;H235,メニュー!$H$25:$I$26,2,0)),"")</f>
        <v/>
      </c>
      <c r="J235" s="7"/>
      <c r="K235" s="7"/>
      <c r="L235" s="7"/>
      <c r="M235" s="7"/>
    </row>
    <row r="236" spans="1:13" x14ac:dyDescent="0.2">
      <c r="A236" s="6" t="str">
        <f t="shared" si="3"/>
        <v/>
      </c>
      <c r="B236" s="3"/>
      <c r="C236" s="6" t="str">
        <f>IFERROR(VLOOKUP(B236,メニュー!$B$3:$C$12,2,FALSE),"")</f>
        <v/>
      </c>
      <c r="D236" s="3"/>
      <c r="E236" s="6" t="str">
        <f>IFERROR(VLOOKUP(D236,メニュー!$D$3:$E$4,2,FALSE),"")</f>
        <v/>
      </c>
      <c r="F236" s="3"/>
      <c r="G236" s="6"/>
      <c r="H236" s="3"/>
      <c r="I236" s="6" t="str">
        <f>IFERROR(IF(F236&lt;&gt;"通信機器購入なし",VLOOKUP(F236&amp;H236,メニュー!$H$30:$I$39,2,0),VLOOKUP(D236&amp;F236&amp;H236,メニュー!$H$25:$I$26,2,0)),"")</f>
        <v/>
      </c>
      <c r="J236" s="7"/>
      <c r="K236" s="7"/>
      <c r="L236" s="7"/>
      <c r="M236" s="7"/>
    </row>
    <row r="237" spans="1:13" x14ac:dyDescent="0.2">
      <c r="A237" s="6" t="str">
        <f t="shared" si="3"/>
        <v/>
      </c>
      <c r="B237" s="3"/>
      <c r="C237" s="6" t="str">
        <f>IFERROR(VLOOKUP(B237,メニュー!$B$3:$C$12,2,FALSE),"")</f>
        <v/>
      </c>
      <c r="D237" s="3"/>
      <c r="E237" s="6" t="str">
        <f>IFERROR(VLOOKUP(D237,メニュー!$D$3:$E$4,2,FALSE),"")</f>
        <v/>
      </c>
      <c r="F237" s="3"/>
      <c r="G237" s="6"/>
      <c r="H237" s="3"/>
      <c r="I237" s="6" t="str">
        <f>IFERROR(IF(F237&lt;&gt;"通信機器購入なし",VLOOKUP(F237&amp;H237,メニュー!$H$30:$I$39,2,0),VLOOKUP(D237&amp;F237&amp;H237,メニュー!$H$25:$I$26,2,0)),"")</f>
        <v/>
      </c>
      <c r="J237" s="7"/>
      <c r="K237" s="7"/>
      <c r="L237" s="7"/>
      <c r="M237" s="7"/>
    </row>
    <row r="238" spans="1:13" x14ac:dyDescent="0.2">
      <c r="A238" s="6" t="str">
        <f t="shared" si="3"/>
        <v/>
      </c>
      <c r="B238" s="3"/>
      <c r="C238" s="6" t="str">
        <f>IFERROR(VLOOKUP(B238,メニュー!$B$3:$C$12,2,FALSE),"")</f>
        <v/>
      </c>
      <c r="D238" s="3"/>
      <c r="E238" s="6" t="str">
        <f>IFERROR(VLOOKUP(D238,メニュー!$D$3:$E$4,2,FALSE),"")</f>
        <v/>
      </c>
      <c r="F238" s="3"/>
      <c r="G238" s="6"/>
      <c r="H238" s="3"/>
      <c r="I238" s="6" t="str">
        <f>IFERROR(IF(F238&lt;&gt;"通信機器購入なし",VLOOKUP(F238&amp;H238,メニュー!$H$30:$I$39,2,0),VLOOKUP(D238&amp;F238&amp;H238,メニュー!$H$25:$I$26,2,0)),"")</f>
        <v/>
      </c>
      <c r="J238" s="7"/>
      <c r="K238" s="7"/>
      <c r="L238" s="7"/>
      <c r="M238" s="7"/>
    </row>
    <row r="239" spans="1:13" x14ac:dyDescent="0.2">
      <c r="A239" s="6" t="str">
        <f t="shared" si="3"/>
        <v/>
      </c>
      <c r="B239" s="3"/>
      <c r="C239" s="6" t="str">
        <f>IFERROR(VLOOKUP(B239,メニュー!$B$3:$C$12,2,FALSE),"")</f>
        <v/>
      </c>
      <c r="D239" s="3"/>
      <c r="E239" s="6" t="str">
        <f>IFERROR(VLOOKUP(D239,メニュー!$D$3:$E$4,2,FALSE),"")</f>
        <v/>
      </c>
      <c r="F239" s="3"/>
      <c r="G239" s="6"/>
      <c r="H239" s="3"/>
      <c r="I239" s="6" t="str">
        <f>IFERROR(IF(F239&lt;&gt;"通信機器購入なし",VLOOKUP(F239&amp;H239,メニュー!$H$30:$I$39,2,0),VLOOKUP(D239&amp;F239&amp;H239,メニュー!$H$25:$I$26,2,0)),"")</f>
        <v/>
      </c>
      <c r="J239" s="7"/>
      <c r="K239" s="7"/>
      <c r="L239" s="7"/>
      <c r="M239" s="7"/>
    </row>
    <row r="240" spans="1:13" x14ac:dyDescent="0.2">
      <c r="A240" s="6" t="str">
        <f t="shared" si="3"/>
        <v/>
      </c>
      <c r="B240" s="3"/>
      <c r="C240" s="6" t="str">
        <f>IFERROR(VLOOKUP(B240,メニュー!$B$3:$C$12,2,FALSE),"")</f>
        <v/>
      </c>
      <c r="D240" s="3"/>
      <c r="E240" s="6" t="str">
        <f>IFERROR(VLOOKUP(D240,メニュー!$D$3:$E$4,2,FALSE),"")</f>
        <v/>
      </c>
      <c r="F240" s="3"/>
      <c r="G240" s="6"/>
      <c r="H240" s="3"/>
      <c r="I240" s="6" t="str">
        <f>IFERROR(IF(F240&lt;&gt;"通信機器購入なし",VLOOKUP(F240&amp;H240,メニュー!$H$30:$I$39,2,0),VLOOKUP(D240&amp;F240&amp;H240,メニュー!$H$25:$I$26,2,0)),"")</f>
        <v/>
      </c>
      <c r="J240" s="7"/>
      <c r="K240" s="7"/>
      <c r="L240" s="7"/>
      <c r="M240" s="7"/>
    </row>
    <row r="241" spans="1:13" x14ac:dyDescent="0.2">
      <c r="A241" s="6" t="str">
        <f t="shared" si="3"/>
        <v/>
      </c>
      <c r="B241" s="3"/>
      <c r="C241" s="6" t="str">
        <f>IFERROR(VLOOKUP(B241,メニュー!$B$3:$C$12,2,FALSE),"")</f>
        <v/>
      </c>
      <c r="D241" s="3"/>
      <c r="E241" s="6" t="str">
        <f>IFERROR(VLOOKUP(D241,メニュー!$D$3:$E$4,2,FALSE),"")</f>
        <v/>
      </c>
      <c r="F241" s="3"/>
      <c r="G241" s="6"/>
      <c r="H241" s="3"/>
      <c r="I241" s="6" t="str">
        <f>IFERROR(IF(F241&lt;&gt;"通信機器購入なし",VLOOKUP(F241&amp;H241,メニュー!$H$30:$I$39,2,0),VLOOKUP(D241&amp;F241&amp;H241,メニュー!$H$25:$I$26,2,0)),"")</f>
        <v/>
      </c>
      <c r="J241" s="7"/>
      <c r="K241" s="7"/>
      <c r="L241" s="7"/>
      <c r="M241" s="7"/>
    </row>
    <row r="242" spans="1:13" x14ac:dyDescent="0.2">
      <c r="A242" s="6" t="str">
        <f t="shared" si="3"/>
        <v/>
      </c>
      <c r="B242" s="3"/>
      <c r="C242" s="6" t="str">
        <f>IFERROR(VLOOKUP(B242,メニュー!$B$3:$C$12,2,FALSE),"")</f>
        <v/>
      </c>
      <c r="D242" s="3"/>
      <c r="E242" s="6" t="str">
        <f>IFERROR(VLOOKUP(D242,メニュー!$D$3:$E$4,2,FALSE),"")</f>
        <v/>
      </c>
      <c r="F242" s="3"/>
      <c r="G242" s="6"/>
      <c r="H242" s="3"/>
      <c r="I242" s="6" t="str">
        <f>IFERROR(IF(F242&lt;&gt;"通信機器購入なし",VLOOKUP(F242&amp;H242,メニュー!$H$30:$I$39,2,0),VLOOKUP(D242&amp;F242&amp;H242,メニュー!$H$25:$I$26,2,0)),"")</f>
        <v/>
      </c>
      <c r="J242" s="7"/>
      <c r="K242" s="7"/>
      <c r="L242" s="7"/>
      <c r="M242" s="7"/>
    </row>
    <row r="243" spans="1:13" x14ac:dyDescent="0.2">
      <c r="A243" s="6" t="str">
        <f t="shared" si="3"/>
        <v/>
      </c>
      <c r="B243" s="3"/>
      <c r="C243" s="6" t="str">
        <f>IFERROR(VLOOKUP(B243,メニュー!$B$3:$C$12,2,FALSE),"")</f>
        <v/>
      </c>
      <c r="D243" s="3"/>
      <c r="E243" s="6" t="str">
        <f>IFERROR(VLOOKUP(D243,メニュー!$D$3:$E$4,2,FALSE),"")</f>
        <v/>
      </c>
      <c r="F243" s="3"/>
      <c r="G243" s="6"/>
      <c r="H243" s="3"/>
      <c r="I243" s="6" t="str">
        <f>IFERROR(IF(F243&lt;&gt;"通信機器購入なし",VLOOKUP(F243&amp;H243,メニュー!$H$30:$I$39,2,0),VLOOKUP(D243&amp;F243&amp;H243,メニュー!$H$25:$I$26,2,0)),"")</f>
        <v/>
      </c>
      <c r="J243" s="7"/>
      <c r="K243" s="7"/>
      <c r="L243" s="7"/>
      <c r="M243" s="7"/>
    </row>
    <row r="244" spans="1:13" x14ac:dyDescent="0.2">
      <c r="A244" s="6" t="str">
        <f t="shared" si="3"/>
        <v/>
      </c>
      <c r="B244" s="3"/>
      <c r="C244" s="6" t="str">
        <f>IFERROR(VLOOKUP(B244,メニュー!$B$3:$C$12,2,FALSE),"")</f>
        <v/>
      </c>
      <c r="D244" s="3"/>
      <c r="E244" s="6" t="str">
        <f>IFERROR(VLOOKUP(D244,メニュー!$D$3:$E$4,2,FALSE),"")</f>
        <v/>
      </c>
      <c r="F244" s="3"/>
      <c r="G244" s="6"/>
      <c r="H244" s="3"/>
      <c r="I244" s="6" t="str">
        <f>IFERROR(IF(F244&lt;&gt;"通信機器購入なし",VLOOKUP(F244&amp;H244,メニュー!$H$30:$I$39,2,0),VLOOKUP(D244&amp;F244&amp;H244,メニュー!$H$25:$I$26,2,0)),"")</f>
        <v/>
      </c>
      <c r="J244" s="7"/>
      <c r="K244" s="7"/>
      <c r="L244" s="7"/>
      <c r="M244" s="7"/>
    </row>
    <row r="245" spans="1:13" x14ac:dyDescent="0.2">
      <c r="A245" s="6" t="str">
        <f t="shared" si="3"/>
        <v/>
      </c>
      <c r="B245" s="3"/>
      <c r="C245" s="6" t="str">
        <f>IFERROR(VLOOKUP(B245,メニュー!$B$3:$C$12,2,FALSE),"")</f>
        <v/>
      </c>
      <c r="D245" s="3"/>
      <c r="E245" s="6" t="str">
        <f>IFERROR(VLOOKUP(D245,メニュー!$D$3:$E$4,2,FALSE),"")</f>
        <v/>
      </c>
      <c r="F245" s="3"/>
      <c r="G245" s="6"/>
      <c r="H245" s="3"/>
      <c r="I245" s="6" t="str">
        <f>IFERROR(IF(F245&lt;&gt;"通信機器購入なし",VLOOKUP(F245&amp;H245,メニュー!$H$30:$I$39,2,0),VLOOKUP(D245&amp;F245&amp;H245,メニュー!$H$25:$I$26,2,0)),"")</f>
        <v/>
      </c>
      <c r="J245" s="7"/>
      <c r="K245" s="7"/>
      <c r="L245" s="7"/>
      <c r="M245" s="7"/>
    </row>
    <row r="246" spans="1:13" x14ac:dyDescent="0.2">
      <c r="A246" s="6" t="str">
        <f t="shared" si="3"/>
        <v/>
      </c>
      <c r="B246" s="3"/>
      <c r="C246" s="6" t="str">
        <f>IFERROR(VLOOKUP(B246,メニュー!$B$3:$C$12,2,FALSE),"")</f>
        <v/>
      </c>
      <c r="D246" s="3"/>
      <c r="E246" s="6" t="str">
        <f>IFERROR(VLOOKUP(D246,メニュー!$D$3:$E$4,2,FALSE),"")</f>
        <v/>
      </c>
      <c r="F246" s="3"/>
      <c r="G246" s="6"/>
      <c r="H246" s="3"/>
      <c r="I246" s="6" t="str">
        <f>IFERROR(IF(F246&lt;&gt;"通信機器購入なし",VLOOKUP(F246&amp;H246,メニュー!$H$30:$I$39,2,0),VLOOKUP(D246&amp;F246&amp;H246,メニュー!$H$25:$I$26,2,0)),"")</f>
        <v/>
      </c>
      <c r="J246" s="7"/>
      <c r="K246" s="7"/>
      <c r="L246" s="7"/>
      <c r="M246" s="7"/>
    </row>
    <row r="247" spans="1:13" x14ac:dyDescent="0.2">
      <c r="A247" s="6" t="str">
        <f t="shared" si="3"/>
        <v/>
      </c>
      <c r="B247" s="3"/>
      <c r="C247" s="6" t="str">
        <f>IFERROR(VLOOKUP(B247,メニュー!$B$3:$C$12,2,FALSE),"")</f>
        <v/>
      </c>
      <c r="D247" s="3"/>
      <c r="E247" s="6" t="str">
        <f>IFERROR(VLOOKUP(D247,メニュー!$D$3:$E$4,2,FALSE),"")</f>
        <v/>
      </c>
      <c r="F247" s="3"/>
      <c r="G247" s="6"/>
      <c r="H247" s="3"/>
      <c r="I247" s="6" t="str">
        <f>IFERROR(IF(F247&lt;&gt;"通信機器購入なし",VLOOKUP(F247&amp;H247,メニュー!$H$30:$I$39,2,0),VLOOKUP(D247&amp;F247&amp;H247,メニュー!$H$25:$I$26,2,0)),"")</f>
        <v/>
      </c>
      <c r="J247" s="7"/>
      <c r="K247" s="7"/>
      <c r="L247" s="7"/>
      <c r="M247" s="7"/>
    </row>
    <row r="248" spans="1:13" x14ac:dyDescent="0.2">
      <c r="A248" s="6" t="str">
        <f t="shared" si="3"/>
        <v/>
      </c>
      <c r="B248" s="3"/>
      <c r="C248" s="6" t="str">
        <f>IFERROR(VLOOKUP(B248,メニュー!$B$3:$C$12,2,FALSE),"")</f>
        <v/>
      </c>
      <c r="D248" s="3"/>
      <c r="E248" s="6" t="str">
        <f>IFERROR(VLOOKUP(D248,メニュー!$D$3:$E$4,2,FALSE),"")</f>
        <v/>
      </c>
      <c r="F248" s="3"/>
      <c r="G248" s="6"/>
      <c r="H248" s="3"/>
      <c r="I248" s="6" t="str">
        <f>IFERROR(IF(F248&lt;&gt;"通信機器購入なし",VLOOKUP(F248&amp;H248,メニュー!$H$30:$I$39,2,0),VLOOKUP(D248&amp;F248&amp;H248,メニュー!$H$25:$I$26,2,0)),"")</f>
        <v/>
      </c>
      <c r="J248" s="7"/>
      <c r="K248" s="7"/>
      <c r="L248" s="7"/>
      <c r="M248" s="7"/>
    </row>
    <row r="249" spans="1:13" x14ac:dyDescent="0.2">
      <c r="A249" s="6" t="str">
        <f t="shared" si="3"/>
        <v/>
      </c>
      <c r="B249" s="3"/>
      <c r="C249" s="6" t="str">
        <f>IFERROR(VLOOKUP(B249,メニュー!$B$3:$C$12,2,FALSE),"")</f>
        <v/>
      </c>
      <c r="D249" s="3"/>
      <c r="E249" s="6" t="str">
        <f>IFERROR(VLOOKUP(D249,メニュー!$D$3:$E$4,2,FALSE),"")</f>
        <v/>
      </c>
      <c r="F249" s="3"/>
      <c r="G249" s="6"/>
      <c r="H249" s="3"/>
      <c r="I249" s="6" t="str">
        <f>IFERROR(IF(F249&lt;&gt;"通信機器購入なし",VLOOKUP(F249&amp;H249,メニュー!$H$30:$I$39,2,0),VLOOKUP(D249&amp;F249&amp;H249,メニュー!$H$25:$I$26,2,0)),"")</f>
        <v/>
      </c>
      <c r="J249" s="7"/>
      <c r="K249" s="7"/>
      <c r="L249" s="7"/>
      <c r="M249" s="7"/>
    </row>
    <row r="250" spans="1:13" x14ac:dyDescent="0.2">
      <c r="A250" s="6" t="str">
        <f t="shared" si="3"/>
        <v/>
      </c>
      <c r="B250" s="3"/>
      <c r="C250" s="6" t="str">
        <f>IFERROR(VLOOKUP(B250,メニュー!$B$3:$C$12,2,FALSE),"")</f>
        <v/>
      </c>
      <c r="D250" s="3"/>
      <c r="E250" s="6" t="str">
        <f>IFERROR(VLOOKUP(D250,メニュー!$D$3:$E$4,2,FALSE),"")</f>
        <v/>
      </c>
      <c r="F250" s="3"/>
      <c r="G250" s="6"/>
      <c r="H250" s="3"/>
      <c r="I250" s="6" t="str">
        <f>IFERROR(IF(F250&lt;&gt;"通信機器購入なし",VLOOKUP(F250&amp;H250,メニュー!$H$30:$I$39,2,0),VLOOKUP(D250&amp;F250&amp;H250,メニュー!$H$25:$I$26,2,0)),"")</f>
        <v/>
      </c>
      <c r="J250" s="7"/>
      <c r="K250" s="7"/>
      <c r="L250" s="7"/>
      <c r="M250" s="7"/>
    </row>
    <row r="251" spans="1:13" x14ac:dyDescent="0.2">
      <c r="A251" s="6" t="str">
        <f t="shared" si="3"/>
        <v/>
      </c>
      <c r="B251" s="3"/>
      <c r="C251" s="6" t="str">
        <f>IFERROR(VLOOKUP(B251,メニュー!$B$3:$C$12,2,FALSE),"")</f>
        <v/>
      </c>
      <c r="D251" s="3"/>
      <c r="E251" s="6" t="str">
        <f>IFERROR(VLOOKUP(D251,メニュー!$D$3:$E$4,2,FALSE),"")</f>
        <v/>
      </c>
      <c r="F251" s="3"/>
      <c r="G251" s="6"/>
      <c r="H251" s="3"/>
      <c r="I251" s="6" t="str">
        <f>IFERROR(IF(F251&lt;&gt;"通信機器購入なし",VLOOKUP(F251&amp;H251,メニュー!$H$30:$I$39,2,0),VLOOKUP(D251&amp;F251&amp;H251,メニュー!$H$25:$I$26,2,0)),"")</f>
        <v/>
      </c>
      <c r="J251" s="7"/>
      <c r="K251" s="7"/>
      <c r="L251" s="7"/>
      <c r="M251" s="7"/>
    </row>
    <row r="252" spans="1:13" x14ac:dyDescent="0.2">
      <c r="A252" s="6" t="str">
        <f t="shared" si="3"/>
        <v/>
      </c>
      <c r="B252" s="3"/>
      <c r="C252" s="6" t="str">
        <f>IFERROR(VLOOKUP(B252,メニュー!$B$3:$C$12,2,FALSE),"")</f>
        <v/>
      </c>
      <c r="D252" s="3"/>
      <c r="E252" s="6" t="str">
        <f>IFERROR(VLOOKUP(D252,メニュー!$D$3:$E$4,2,FALSE),"")</f>
        <v/>
      </c>
      <c r="F252" s="3"/>
      <c r="G252" s="6"/>
      <c r="H252" s="3"/>
      <c r="I252" s="6" t="str">
        <f>IFERROR(IF(F252&lt;&gt;"通信機器購入なし",VLOOKUP(F252&amp;H252,メニュー!$H$30:$I$39,2,0),VLOOKUP(D252&amp;F252&amp;H252,メニュー!$H$25:$I$26,2,0)),"")</f>
        <v/>
      </c>
      <c r="J252" s="7"/>
      <c r="K252" s="7"/>
      <c r="L252" s="7"/>
      <c r="M252" s="7"/>
    </row>
    <row r="253" spans="1:13" x14ac:dyDescent="0.2">
      <c r="A253" s="6" t="str">
        <f t="shared" si="3"/>
        <v/>
      </c>
      <c r="B253" s="3"/>
      <c r="C253" s="6" t="str">
        <f>IFERROR(VLOOKUP(B253,メニュー!$B$3:$C$12,2,FALSE),"")</f>
        <v/>
      </c>
      <c r="D253" s="3"/>
      <c r="E253" s="6" t="str">
        <f>IFERROR(VLOOKUP(D253,メニュー!$D$3:$E$4,2,FALSE),"")</f>
        <v/>
      </c>
      <c r="F253" s="3"/>
      <c r="G253" s="6"/>
      <c r="H253" s="3"/>
      <c r="I253" s="6" t="str">
        <f>IFERROR(IF(F253&lt;&gt;"通信機器購入なし",VLOOKUP(F253&amp;H253,メニュー!$H$30:$I$39,2,0),VLOOKUP(D253&amp;F253&amp;H253,メニュー!$H$25:$I$26,2,0)),"")</f>
        <v/>
      </c>
      <c r="J253" s="7"/>
      <c r="K253" s="7"/>
      <c r="L253" s="7"/>
      <c r="M253" s="7"/>
    </row>
    <row r="254" spans="1:13" x14ac:dyDescent="0.2">
      <c r="A254" s="6" t="str">
        <f t="shared" si="3"/>
        <v/>
      </c>
      <c r="B254" s="3"/>
      <c r="C254" s="6" t="str">
        <f>IFERROR(VLOOKUP(B254,メニュー!$B$3:$C$12,2,FALSE),"")</f>
        <v/>
      </c>
      <c r="D254" s="3"/>
      <c r="E254" s="6" t="str">
        <f>IFERROR(VLOOKUP(D254,メニュー!$D$3:$E$4,2,FALSE),"")</f>
        <v/>
      </c>
      <c r="F254" s="3"/>
      <c r="G254" s="6"/>
      <c r="H254" s="3"/>
      <c r="I254" s="6" t="str">
        <f>IFERROR(IF(F254&lt;&gt;"通信機器購入なし",VLOOKUP(F254&amp;H254,メニュー!$H$30:$I$39,2,0),VLOOKUP(D254&amp;F254&amp;H254,メニュー!$H$25:$I$26,2,0)),"")</f>
        <v/>
      </c>
      <c r="J254" s="7"/>
      <c r="K254" s="7"/>
      <c r="L254" s="7"/>
      <c r="M254" s="7"/>
    </row>
    <row r="255" spans="1:13" x14ac:dyDescent="0.2">
      <c r="A255" s="6" t="str">
        <f t="shared" si="3"/>
        <v/>
      </c>
      <c r="B255" s="3"/>
      <c r="C255" s="6" t="str">
        <f>IFERROR(VLOOKUP(B255,メニュー!$B$3:$C$12,2,FALSE),"")</f>
        <v/>
      </c>
      <c r="D255" s="3"/>
      <c r="E255" s="6" t="str">
        <f>IFERROR(VLOOKUP(D255,メニュー!$D$3:$E$4,2,FALSE),"")</f>
        <v/>
      </c>
      <c r="F255" s="3"/>
      <c r="G255" s="6"/>
      <c r="H255" s="3"/>
      <c r="I255" s="6" t="str">
        <f>IFERROR(IF(F255&lt;&gt;"通信機器購入なし",VLOOKUP(F255&amp;H255,メニュー!$H$30:$I$39,2,0),VLOOKUP(D255&amp;F255&amp;H255,メニュー!$H$25:$I$26,2,0)),"")</f>
        <v/>
      </c>
      <c r="J255" s="7"/>
      <c r="K255" s="7"/>
      <c r="L255" s="7"/>
      <c r="M255" s="7"/>
    </row>
  </sheetData>
  <sheetProtection selectLockedCells="1"/>
  <dataConsolidate/>
  <phoneticPr fontId="18"/>
  <dataValidations count="4">
    <dataValidation type="textLength" allowBlank="1" showInputMessage="1" showErrorMessage="1" error="認証IDは3～15文字の範囲で入力してください。" sqref="J2:J255" xr:uid="{00000000-0002-0000-0000-000000000000}">
      <formula1>3</formula1>
      <formula2>15</formula2>
    </dataValidation>
    <dataValidation type="textLength" allowBlank="1" showInputMessage="1" showErrorMessage="1" error="パスワードは2～15文字の範囲で入力してください。" sqref="K2:K255" xr:uid="{00000000-0002-0000-0000-000001000000}">
      <formula1>2</formula1>
      <formula2>15</formula2>
    </dataValidation>
    <dataValidation type="custom" allowBlank="1" showInputMessage="1" showErrorMessage="1" error="IPv4アドレスの入力値が正しくありません。" sqref="L2:L255" xr:uid="{00000000-0002-0000-0000-000002000000}">
      <formula1>COUNTIFS(L2,"*?.*?.*?.*?",L2,"&lt;&gt;*-*",L2,"&lt;&gt;*.*.*.*.*",L2,"&lt;&gt;*????.*.*.*",L2,"&lt;&gt;*.*????.*.*",L2,"&lt;&gt;*.*.*????.*",L2,"&lt;&gt;*.*.*.*????")*ISNUMBER(SUBSTITUTE(L2,".",)+0)*(SUMPRODUCT(ISNUMBER(FIND(ROW(INDIRECT("Z256:Z999")),L2))*1)=0)</formula1>
    </dataValidation>
    <dataValidation type="custom" allowBlank="1" showInputMessage="1" showErrorMessage="1" error="IPv4アドレスの入力値が正しくありません" sqref="M2:M255" xr:uid="{00000000-0002-0000-0000-000003000000}">
      <formula1>COUNTIFS(M2,"*?.*?.*?.*?",M2,"&lt;&gt;*-*",M2,"&lt;&gt;*.*.*.*.*",M2,"&lt;&gt;*????.*.*.*",M2,"&lt;&gt;*.*????.*.*",M2,"&lt;&gt;*.*.*????.*",M2,"&lt;&gt;*.*.*.*????")*ISNUMBER(SUBSTITUTE(M2,".",)+0)*(SUMPRODUCT(ISNUMBER(FIND(ROW(INDIRECT("Z256:Z999")),M2))*1)=0)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2" id="{00000000-000E-0000-0000-000001000000}">
            <xm:f>VLOOKUP($D2&amp;$F2,エラーチェック!$D$3:$E$24,2,FALSE)="NG"</xm:f>
            <x14:dxf>
              <fill>
                <patternFill>
                  <bgColor rgb="FFFF0000"/>
                </patternFill>
              </fill>
            </x14:dxf>
          </x14:cfRule>
          <xm:sqref>D2:D255 F2:F255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5000000}">
          <x14:formula1>
            <xm:f>IF(RIGHT(B2,3)="SMS",メニュー!$D$3,メニュー!$D$3:$D$4)</xm:f>
          </x14:formula1>
          <xm:sqref>D2:D255</xm:sqref>
        </x14:dataValidation>
        <x14:dataValidation type="list" allowBlank="1" showInputMessage="1" showErrorMessage="1" xr:uid="{00000000-0002-0000-0000-000004000000}">
          <x14:formula1>
            <xm:f>メニュー!$B$3:$B$12</xm:f>
          </x14:formula1>
          <xm:sqref>B2:B255</xm:sqref>
        </x14:dataValidation>
        <x14:dataValidation type="list" allowBlank="1" showInputMessage="1" showErrorMessage="1" xr:uid="{00000000-0002-0000-0000-000006000000}">
          <x14:formula1>
            <xm:f>メニュー!$I$4</xm:f>
          </x14:formula1>
          <xm:sqref>H2:H255</xm:sqref>
        </x14:dataValidation>
        <x14:dataValidation type="list" allowBlank="1" showInputMessage="1" showErrorMessage="1" xr:uid="{CDA262C0-E7C6-4BD3-BE40-CF217B451444}">
          <x14:formula1>
            <xm:f>IF(OR(B2="",D2=""),メニュー!$F$20,IF(D2="5G-NSA",メニュー!$F$12:$F$16,メニュー!$F$3:$F$9))</xm:f>
          </x14:formula1>
          <xm:sqref>F2:F255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C5FD-DE0A-47AB-A9FB-D9F2C366E213}">
  <dimension ref="A1:M255"/>
  <sheetViews>
    <sheetView tabSelected="1" workbookViewId="0">
      <selection activeCell="D10" sqref="D10"/>
    </sheetView>
  </sheetViews>
  <sheetFormatPr defaultRowHeight="13" x14ac:dyDescent="0.2"/>
  <cols>
    <col min="1" max="1" width="4.453125" bestFit="1" customWidth="1"/>
    <col min="2" max="2" width="42.453125" bestFit="1" customWidth="1"/>
    <col min="3" max="3" width="16.7265625" bestFit="1" customWidth="1"/>
    <col min="4" max="4" width="19.26953125" customWidth="1"/>
    <col min="5" max="5" width="19" bestFit="1" customWidth="1"/>
    <col min="6" max="6" width="53" bestFit="1" customWidth="1"/>
    <col min="7" max="7" width="10.7265625" bestFit="1" customWidth="1"/>
    <col min="8" max="8" width="15.1796875" bestFit="1" customWidth="1"/>
    <col min="9" max="9" width="10.7265625" bestFit="1" customWidth="1"/>
    <col min="10" max="10" width="18.7265625" customWidth="1"/>
    <col min="11" max="11" width="17.26953125" bestFit="1" customWidth="1"/>
    <col min="12" max="13" width="15.1796875" bestFit="1" customWidth="1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">
      <c r="A2" s="6">
        <f>IF(B2="","",ROW()-1)</f>
        <v>1</v>
      </c>
      <c r="B2" s="3" t="s">
        <v>13</v>
      </c>
      <c r="C2" s="6" t="str">
        <f>IFERROR(VLOOKUP(B2,メニュー!$B$3:$C$12,2,FALSE),"")</f>
        <v>T3003051</v>
      </c>
      <c r="D2" s="3" t="s">
        <v>14</v>
      </c>
      <c r="E2" s="6">
        <f>IFERROR(VLOOKUP(D2,メニュー!$D$3:$E$4,2,FALSE),"")</f>
        <v>2</v>
      </c>
      <c r="F2" s="3" t="s">
        <v>27</v>
      </c>
      <c r="G2" s="6"/>
      <c r="H2" s="3" t="s">
        <v>106</v>
      </c>
      <c r="I2" s="6" t="str">
        <f>IFERROR(IF(F2&lt;&gt;"通信機器購入なし",VLOOKUP(F2&amp;H2,メニュー!$H$30:$I$39,2,0),VLOOKUP(D2&amp;F2&amp;H2,メニュー!$H$25:$I$26,2,0)),"")</f>
        <v>T2000823</v>
      </c>
      <c r="J2" s="7"/>
      <c r="K2" s="7"/>
      <c r="L2" s="7"/>
      <c r="M2" s="7"/>
    </row>
    <row r="3" spans="1:13" x14ac:dyDescent="0.2">
      <c r="A3" s="6">
        <f>IF(B3="","",ROW()-1)</f>
        <v>2</v>
      </c>
      <c r="B3" s="3" t="s">
        <v>33</v>
      </c>
      <c r="C3" s="6"/>
      <c r="D3" s="3"/>
      <c r="E3" s="6"/>
      <c r="F3" s="3"/>
      <c r="G3" s="6"/>
      <c r="H3" s="3"/>
      <c r="I3" s="6" t="str">
        <f>IFERROR(IF(F3&lt;&gt;"通信機器購入なし",VLOOKUP(F3&amp;H3,メニュー!$H$30:$I$39,2,0),VLOOKUP(D3&amp;F3&amp;H3,メニュー!$H$25:$I$26,2,0)),"")</f>
        <v/>
      </c>
      <c r="J3" s="7"/>
      <c r="K3" s="7"/>
      <c r="L3" s="7"/>
      <c r="M3" s="7"/>
    </row>
    <row r="4" spans="1:13" x14ac:dyDescent="0.2">
      <c r="A4" s="6" t="str">
        <f t="shared" ref="A4:A67" si="0">IF(B4="","",ROW()-1)</f>
        <v/>
      </c>
      <c r="B4" s="3"/>
      <c r="C4" s="6" t="str">
        <f>IFERROR(VLOOKUP(B4,メニュー!$B$3:$C$12,2,FALSE),"")</f>
        <v/>
      </c>
      <c r="D4" s="3"/>
      <c r="E4" s="6" t="str">
        <f>IFERROR(VLOOKUP(D4,メニュー!$D$3:$E$4,2,FALSE),"")</f>
        <v/>
      </c>
      <c r="F4" s="3"/>
      <c r="G4" s="6"/>
      <c r="H4" s="3"/>
      <c r="I4" s="6" t="str">
        <f>IFERROR(IF(F4&lt;&gt;"通信機器購入なし",VLOOKUP(F4&amp;H4,メニュー!$H$30:$I$39,2,0),VLOOKUP(D4&amp;F4&amp;H4,メニュー!$H$25:$I$26,2,0)),"")</f>
        <v/>
      </c>
      <c r="J4" s="7"/>
      <c r="K4" s="7"/>
      <c r="L4" s="7"/>
      <c r="M4" s="7"/>
    </row>
    <row r="5" spans="1:13" x14ac:dyDescent="0.2">
      <c r="A5" s="6" t="str">
        <f t="shared" si="0"/>
        <v/>
      </c>
      <c r="B5" s="3"/>
      <c r="C5" s="6" t="str">
        <f>IFERROR(VLOOKUP(B5,メニュー!$B$3:$C$12,2,FALSE),"")</f>
        <v/>
      </c>
      <c r="D5" s="3"/>
      <c r="E5" s="6" t="str">
        <f>IFERROR(VLOOKUP(D5,メニュー!$D$3:$E$4,2,FALSE),"")</f>
        <v/>
      </c>
      <c r="F5" s="3"/>
      <c r="G5" s="6"/>
      <c r="H5" s="3"/>
      <c r="I5" s="6" t="str">
        <f>IFERROR(IF(F5&lt;&gt;"通信機器購入なし",VLOOKUP(F5&amp;H5,メニュー!$H$30:$I$39,2,0),VLOOKUP(D5&amp;F5&amp;H5,メニュー!$H$25:$I$26,2,0)),"")</f>
        <v/>
      </c>
      <c r="J5" s="7"/>
      <c r="K5" s="7"/>
      <c r="L5" s="7"/>
      <c r="M5" s="7"/>
    </row>
    <row r="6" spans="1:13" x14ac:dyDescent="0.2">
      <c r="A6" s="6" t="str">
        <f t="shared" si="0"/>
        <v/>
      </c>
      <c r="B6" s="3"/>
      <c r="C6" s="6" t="str">
        <f>IFERROR(VLOOKUP(B6,メニュー!$B$3:$C$12,2,FALSE),"")</f>
        <v/>
      </c>
      <c r="D6" s="3"/>
      <c r="E6" s="6" t="str">
        <f>IFERROR(VLOOKUP(D6,メニュー!$D$3:$E$4,2,FALSE),"")</f>
        <v/>
      </c>
      <c r="F6" s="3"/>
      <c r="G6" s="6"/>
      <c r="H6" s="3"/>
      <c r="I6" s="6" t="str">
        <f>IFERROR(IF(F6&lt;&gt;"通信機器購入なし",VLOOKUP(F6&amp;H6,メニュー!$H$30:$I$39,2,0),VLOOKUP(D6&amp;F6&amp;H6,メニュー!$H$25:$I$26,2,0)),"")</f>
        <v/>
      </c>
      <c r="J6" s="7"/>
      <c r="K6" s="7"/>
      <c r="L6" s="7"/>
      <c r="M6" s="7"/>
    </row>
    <row r="7" spans="1:13" x14ac:dyDescent="0.2">
      <c r="A7" s="6" t="str">
        <f t="shared" si="0"/>
        <v/>
      </c>
      <c r="B7" s="3"/>
      <c r="C7" s="6" t="str">
        <f>IFERROR(VLOOKUP(B7,メニュー!$B$3:$C$12,2,FALSE),"")</f>
        <v/>
      </c>
      <c r="D7" s="3"/>
      <c r="E7" s="6" t="str">
        <f>IFERROR(VLOOKUP(D7,メニュー!$D$3:$E$4,2,FALSE),"")</f>
        <v/>
      </c>
      <c r="F7" s="3"/>
      <c r="G7" s="6"/>
      <c r="H7" s="3"/>
      <c r="I7" s="6" t="str">
        <f>IFERROR(IF(F7&lt;&gt;"通信機器購入なし",VLOOKUP(F7&amp;H7,メニュー!$H$30:$I$39,2,0),VLOOKUP(D7&amp;F7&amp;H7,メニュー!$H$25:$I$26,2,0)),"")</f>
        <v/>
      </c>
      <c r="J7" s="7"/>
      <c r="K7" s="7"/>
      <c r="L7" s="7"/>
      <c r="M7" s="7"/>
    </row>
    <row r="8" spans="1:13" x14ac:dyDescent="0.2">
      <c r="A8" s="6" t="str">
        <f t="shared" si="0"/>
        <v/>
      </c>
      <c r="B8" s="3"/>
      <c r="C8" s="6" t="str">
        <f>IFERROR(VLOOKUP(B8,メニュー!$B$3:$C$12,2,FALSE),"")</f>
        <v/>
      </c>
      <c r="D8" s="3"/>
      <c r="E8" s="6" t="str">
        <f>IFERROR(VLOOKUP(D8,メニュー!$D$3:$E$4,2,FALSE),"")</f>
        <v/>
      </c>
      <c r="F8" s="3"/>
      <c r="G8" s="6"/>
      <c r="H8" s="3"/>
      <c r="I8" s="6" t="str">
        <f>IFERROR(IF(F8&lt;&gt;"通信機器購入なし",VLOOKUP(F8&amp;H8,メニュー!$H$30:$I$39,2,0),VLOOKUP(D8&amp;F8&amp;H8,メニュー!$H$25:$I$26,2,0)),"")</f>
        <v/>
      </c>
      <c r="J8" s="7"/>
      <c r="K8" s="7"/>
      <c r="L8" s="7"/>
      <c r="M8" s="7"/>
    </row>
    <row r="9" spans="1:13" x14ac:dyDescent="0.2">
      <c r="A9" s="6" t="str">
        <f t="shared" si="0"/>
        <v/>
      </c>
      <c r="B9" s="3"/>
      <c r="C9" s="6" t="str">
        <f>IFERROR(VLOOKUP(B9,メニュー!$B$3:$C$12,2,FALSE),"")</f>
        <v/>
      </c>
      <c r="D9" s="3"/>
      <c r="E9" s="6" t="str">
        <f>IFERROR(VLOOKUP(D9,メニュー!$D$3:$E$4,2,FALSE),"")</f>
        <v/>
      </c>
      <c r="F9" s="3"/>
      <c r="G9" s="6"/>
      <c r="H9" s="3"/>
      <c r="I9" s="6" t="str">
        <f>IFERROR(IF(F9&lt;&gt;"通信機器購入なし",VLOOKUP(F9&amp;H9,メニュー!$H$30:$I$39,2,0),VLOOKUP(D9&amp;F9&amp;H9,メニュー!$H$25:$I$26,2,0)),"")</f>
        <v/>
      </c>
      <c r="J9" s="7"/>
      <c r="K9" s="7"/>
      <c r="L9" s="7"/>
      <c r="M9" s="7"/>
    </row>
    <row r="10" spans="1:13" x14ac:dyDescent="0.2">
      <c r="A10" s="6" t="str">
        <f t="shared" si="0"/>
        <v/>
      </c>
      <c r="B10" s="3"/>
      <c r="C10" s="6" t="str">
        <f>IFERROR(VLOOKUP(B10,メニュー!$B$3:$C$12,2,FALSE),"")</f>
        <v/>
      </c>
      <c r="D10" s="3"/>
      <c r="E10" s="6" t="str">
        <f>IFERROR(VLOOKUP(D10,メニュー!$D$3:$E$4,2,FALSE),"")</f>
        <v/>
      </c>
      <c r="F10" s="3"/>
      <c r="G10" s="6"/>
      <c r="H10" s="3"/>
      <c r="I10" s="6" t="str">
        <f>IFERROR(IF(F10&lt;&gt;"通信機器購入なし",VLOOKUP(F10&amp;H10,メニュー!$H$30:$I$39,2,0),VLOOKUP(D10&amp;F10&amp;H10,メニュー!$H$25:$I$26,2,0)),"")</f>
        <v/>
      </c>
      <c r="J10" s="7"/>
      <c r="K10" s="7"/>
      <c r="L10" s="7"/>
      <c r="M10" s="7"/>
    </row>
    <row r="11" spans="1:13" x14ac:dyDescent="0.2">
      <c r="A11" s="6" t="str">
        <f t="shared" si="0"/>
        <v/>
      </c>
      <c r="B11" s="3"/>
      <c r="C11" s="6" t="str">
        <f>IFERROR(VLOOKUP(B11,メニュー!$B$3:$C$12,2,FALSE),"")</f>
        <v/>
      </c>
      <c r="D11" s="3"/>
      <c r="E11" s="6" t="str">
        <f>IFERROR(VLOOKUP(D11,メニュー!$D$3:$E$4,2,FALSE),"")</f>
        <v/>
      </c>
      <c r="F11" s="3"/>
      <c r="G11" s="6"/>
      <c r="H11" s="3"/>
      <c r="I11" s="6" t="str">
        <f>IFERROR(IF(F11&lt;&gt;"通信機器購入なし",VLOOKUP(F11&amp;H11,メニュー!$H$30:$I$39,2,0),VLOOKUP(D11&amp;F11&amp;H11,メニュー!$H$25:$I$26,2,0)),"")</f>
        <v/>
      </c>
      <c r="J11" s="7"/>
      <c r="K11" s="7"/>
      <c r="L11" s="7"/>
      <c r="M11" s="7"/>
    </row>
    <row r="12" spans="1:13" x14ac:dyDescent="0.2">
      <c r="A12" s="6" t="str">
        <f t="shared" si="0"/>
        <v/>
      </c>
      <c r="B12" s="3"/>
      <c r="C12" s="6" t="str">
        <f>IFERROR(VLOOKUP(B12,メニュー!$B$3:$C$12,2,FALSE),"")</f>
        <v/>
      </c>
      <c r="D12" s="3"/>
      <c r="E12" s="6" t="str">
        <f>IFERROR(VLOOKUP(D12,メニュー!$D$3:$E$4,2,FALSE),"")</f>
        <v/>
      </c>
      <c r="F12" s="3"/>
      <c r="G12" s="6"/>
      <c r="H12" s="3"/>
      <c r="I12" s="6" t="str">
        <f>IFERROR(IF(F12&lt;&gt;"通信機器購入なし",VLOOKUP(F12&amp;H12,メニュー!$H$30:$I$39,2,0),VLOOKUP(D12&amp;F12&amp;H12,メニュー!$H$25:$I$26,2,0)),"")</f>
        <v/>
      </c>
      <c r="J12" s="7"/>
      <c r="K12" s="7"/>
      <c r="L12" s="7"/>
      <c r="M12" s="7"/>
    </row>
    <row r="13" spans="1:13" x14ac:dyDescent="0.2">
      <c r="A13" s="6" t="str">
        <f t="shared" si="0"/>
        <v/>
      </c>
      <c r="B13" s="3"/>
      <c r="C13" s="6" t="str">
        <f>IFERROR(VLOOKUP(B13,メニュー!$B$3:$C$12,2,FALSE),"")</f>
        <v/>
      </c>
      <c r="D13" s="3"/>
      <c r="E13" s="6" t="str">
        <f>IFERROR(VLOOKUP(D13,メニュー!$D$3:$E$4,2,FALSE),"")</f>
        <v/>
      </c>
      <c r="F13" s="3"/>
      <c r="G13" s="6"/>
      <c r="H13" s="3"/>
      <c r="I13" s="6" t="str">
        <f>IFERROR(IF(F13&lt;&gt;"通信機器購入なし",VLOOKUP(F13&amp;H13,メニュー!$H$30:$I$39,2,0),VLOOKUP(D13&amp;F13&amp;H13,メニュー!$H$25:$I$26,2,0)),"")</f>
        <v/>
      </c>
      <c r="J13" s="7"/>
      <c r="K13" s="7"/>
      <c r="L13" s="7"/>
      <c r="M13" s="7"/>
    </row>
    <row r="14" spans="1:13" x14ac:dyDescent="0.2">
      <c r="A14" s="6" t="str">
        <f t="shared" si="0"/>
        <v/>
      </c>
      <c r="B14" s="3"/>
      <c r="C14" s="6" t="str">
        <f>IFERROR(VLOOKUP(B14,メニュー!$B$3:$C$12,2,FALSE),"")</f>
        <v/>
      </c>
      <c r="D14" s="3"/>
      <c r="E14" s="6" t="str">
        <f>IFERROR(VLOOKUP(D14,メニュー!$D$3:$E$4,2,FALSE),"")</f>
        <v/>
      </c>
      <c r="F14" s="3"/>
      <c r="G14" s="6"/>
      <c r="H14" s="3"/>
      <c r="I14" s="6" t="str">
        <f>IFERROR(IF(F14&lt;&gt;"通信機器購入なし",VLOOKUP(F14&amp;H14,メニュー!$H$30:$I$39,2,0),VLOOKUP(D14&amp;F14&amp;H14,メニュー!$H$25:$I$26,2,0)),"")</f>
        <v/>
      </c>
      <c r="J14" s="7"/>
      <c r="K14" s="7"/>
      <c r="L14" s="7"/>
      <c r="M14" s="7"/>
    </row>
    <row r="15" spans="1:13" x14ac:dyDescent="0.2">
      <c r="A15" s="6" t="str">
        <f t="shared" si="0"/>
        <v/>
      </c>
      <c r="B15" s="3"/>
      <c r="C15" s="6" t="str">
        <f>IFERROR(VLOOKUP(B15,メニュー!$B$3:$C$12,2,FALSE),"")</f>
        <v/>
      </c>
      <c r="D15" s="3"/>
      <c r="E15" s="6" t="str">
        <f>IFERROR(VLOOKUP(D15,メニュー!$D$3:$E$4,2,FALSE),"")</f>
        <v/>
      </c>
      <c r="F15" s="3"/>
      <c r="G15" s="6"/>
      <c r="H15" s="3"/>
      <c r="I15" s="6" t="str">
        <f>IFERROR(IF(F15&lt;&gt;"通信機器購入なし",VLOOKUP(F15&amp;H15,メニュー!$H$30:$I$39,2,0),VLOOKUP(D15&amp;F15&amp;H15,メニュー!$H$25:$I$26,2,0)),"")</f>
        <v/>
      </c>
      <c r="J15" s="7"/>
      <c r="K15" s="7"/>
      <c r="L15" s="7"/>
      <c r="M15" s="7"/>
    </row>
    <row r="16" spans="1:13" x14ac:dyDescent="0.2">
      <c r="A16" s="6" t="str">
        <f t="shared" si="0"/>
        <v/>
      </c>
      <c r="B16" s="3"/>
      <c r="C16" s="6" t="str">
        <f>IFERROR(VLOOKUP(B16,メニュー!$B$3:$C$12,2,FALSE),"")</f>
        <v/>
      </c>
      <c r="D16" s="3"/>
      <c r="E16" s="6" t="str">
        <f>IFERROR(VLOOKUP(D16,メニュー!$D$3:$E$4,2,FALSE),"")</f>
        <v/>
      </c>
      <c r="F16" s="3"/>
      <c r="G16" s="6"/>
      <c r="H16" s="3"/>
      <c r="I16" s="6" t="str">
        <f>IFERROR(IF(F16&lt;&gt;"通信機器購入なし",VLOOKUP(F16&amp;H16,メニュー!$H$30:$I$39,2,0),VLOOKUP(D16&amp;F16&amp;H16,メニュー!$H$25:$I$26,2,0)),"")</f>
        <v/>
      </c>
      <c r="J16" s="7"/>
      <c r="K16" s="7"/>
      <c r="L16" s="7"/>
      <c r="M16" s="7"/>
    </row>
    <row r="17" spans="1:13" x14ac:dyDescent="0.2">
      <c r="A17" s="6" t="str">
        <f t="shared" si="0"/>
        <v/>
      </c>
      <c r="B17" s="3"/>
      <c r="C17" s="6" t="str">
        <f>IFERROR(VLOOKUP(B17,メニュー!$B$3:$C$12,2,FALSE),"")</f>
        <v/>
      </c>
      <c r="D17" s="3"/>
      <c r="E17" s="6" t="str">
        <f>IFERROR(VLOOKUP(D17,メニュー!$D$3:$E$4,2,FALSE),"")</f>
        <v/>
      </c>
      <c r="F17" s="3"/>
      <c r="G17" s="6"/>
      <c r="H17" s="3"/>
      <c r="I17" s="6" t="str">
        <f>IFERROR(IF(F17&lt;&gt;"通信機器購入なし",VLOOKUP(F17&amp;H17,メニュー!$H$30:$I$39,2,0),VLOOKUP(D17&amp;F17&amp;H17,メニュー!$H$25:$I$26,2,0)),"")</f>
        <v/>
      </c>
      <c r="J17" s="7"/>
      <c r="K17" s="7"/>
      <c r="L17" s="7"/>
      <c r="M17" s="7"/>
    </row>
    <row r="18" spans="1:13" x14ac:dyDescent="0.2">
      <c r="A18" s="6" t="str">
        <f t="shared" si="0"/>
        <v/>
      </c>
      <c r="B18" s="3"/>
      <c r="C18" s="6" t="str">
        <f>IFERROR(VLOOKUP(B18,メニュー!$B$3:$C$12,2,FALSE),"")</f>
        <v/>
      </c>
      <c r="D18" s="3"/>
      <c r="E18" s="6" t="str">
        <f>IFERROR(VLOOKUP(D18,メニュー!$D$3:$E$4,2,FALSE),"")</f>
        <v/>
      </c>
      <c r="F18" s="3"/>
      <c r="G18" s="6"/>
      <c r="H18" s="3"/>
      <c r="I18" s="6" t="str">
        <f>IFERROR(IF(F18&lt;&gt;"通信機器購入なし",VLOOKUP(F18&amp;H18,メニュー!$H$30:$I$39,2,0),VLOOKUP(D18&amp;F18&amp;H18,メニュー!$H$25:$I$26,2,0)),"")</f>
        <v/>
      </c>
      <c r="J18" s="7"/>
      <c r="K18" s="7"/>
      <c r="L18" s="7"/>
      <c r="M18" s="7"/>
    </row>
    <row r="19" spans="1:13" x14ac:dyDescent="0.2">
      <c r="A19" s="6" t="str">
        <f t="shared" si="0"/>
        <v/>
      </c>
      <c r="B19" s="3"/>
      <c r="C19" s="6" t="str">
        <f>IFERROR(VLOOKUP(B19,メニュー!$B$3:$C$12,2,FALSE),"")</f>
        <v/>
      </c>
      <c r="D19" s="3"/>
      <c r="E19" s="6" t="str">
        <f>IFERROR(VLOOKUP(D19,メニュー!$D$3:$E$4,2,FALSE),"")</f>
        <v/>
      </c>
      <c r="F19" s="3"/>
      <c r="G19" s="6"/>
      <c r="H19" s="3"/>
      <c r="I19" s="6" t="str">
        <f>IFERROR(IF(F19&lt;&gt;"通信機器購入なし",VLOOKUP(F19&amp;H19,メニュー!$H$30:$I$39,2,0),VLOOKUP(D19&amp;F19&amp;H19,メニュー!$H$25:$I$26,2,0)),"")</f>
        <v/>
      </c>
      <c r="J19" s="7"/>
      <c r="K19" s="7"/>
      <c r="L19" s="7"/>
      <c r="M19" s="7"/>
    </row>
    <row r="20" spans="1:13" x14ac:dyDescent="0.2">
      <c r="A20" s="6" t="str">
        <f t="shared" si="0"/>
        <v/>
      </c>
      <c r="B20" s="3"/>
      <c r="C20" s="6" t="str">
        <f>IFERROR(VLOOKUP(B20,メニュー!$B$3:$C$12,2,FALSE),"")</f>
        <v/>
      </c>
      <c r="D20" s="3"/>
      <c r="E20" s="6" t="str">
        <f>IFERROR(VLOOKUP(D20,メニュー!$D$3:$E$4,2,FALSE),"")</f>
        <v/>
      </c>
      <c r="F20" s="3"/>
      <c r="G20" s="6"/>
      <c r="H20" s="3"/>
      <c r="I20" s="6" t="str">
        <f>IFERROR(IF(F20&lt;&gt;"通信機器購入なし",VLOOKUP(F20&amp;H20,メニュー!$H$30:$I$39,2,0),VLOOKUP(D20&amp;F20&amp;H20,メニュー!$H$25:$I$26,2,0)),"")</f>
        <v/>
      </c>
      <c r="J20" s="7"/>
      <c r="K20" s="7"/>
      <c r="L20" s="7"/>
      <c r="M20" s="7"/>
    </row>
    <row r="21" spans="1:13" x14ac:dyDescent="0.2">
      <c r="A21" s="6" t="str">
        <f t="shared" si="0"/>
        <v/>
      </c>
      <c r="B21" s="3"/>
      <c r="C21" s="6" t="str">
        <f>IFERROR(VLOOKUP(B21,メニュー!$B$3:$C$12,2,FALSE),"")</f>
        <v/>
      </c>
      <c r="D21" s="3"/>
      <c r="E21" s="6" t="str">
        <f>IFERROR(VLOOKUP(D21,メニュー!$D$3:$E$4,2,FALSE),"")</f>
        <v/>
      </c>
      <c r="F21" s="3"/>
      <c r="G21" s="6"/>
      <c r="H21" s="3"/>
      <c r="I21" s="6" t="str">
        <f>IFERROR(IF(F21&lt;&gt;"通信機器購入なし",VLOOKUP(F21&amp;H21,メニュー!$H$30:$I$39,2,0),VLOOKUP(D21&amp;F21&amp;H21,メニュー!$H$25:$I$26,2,0)),"")</f>
        <v/>
      </c>
      <c r="J21" s="7"/>
      <c r="K21" s="7"/>
      <c r="L21" s="7"/>
      <c r="M21" s="7"/>
    </row>
    <row r="22" spans="1:13" x14ac:dyDescent="0.2">
      <c r="A22" s="6" t="str">
        <f t="shared" si="0"/>
        <v/>
      </c>
      <c r="B22" s="3"/>
      <c r="C22" s="6" t="str">
        <f>IFERROR(VLOOKUP(B22,メニュー!$B$3:$C$12,2,FALSE),"")</f>
        <v/>
      </c>
      <c r="D22" s="3"/>
      <c r="E22" s="6" t="str">
        <f>IFERROR(VLOOKUP(D22,メニュー!$D$3:$E$4,2,FALSE),"")</f>
        <v/>
      </c>
      <c r="F22" s="3"/>
      <c r="G22" s="6"/>
      <c r="H22" s="3"/>
      <c r="I22" s="6" t="str">
        <f>IFERROR(IF(F22&lt;&gt;"通信機器購入なし",VLOOKUP(F22&amp;H22,メニュー!$H$30:$I$39,2,0),VLOOKUP(D22&amp;F22&amp;H22,メニュー!$H$25:$I$26,2,0)),"")</f>
        <v/>
      </c>
      <c r="J22" s="7"/>
      <c r="K22" s="7"/>
      <c r="L22" s="7"/>
      <c r="M22" s="7"/>
    </row>
    <row r="23" spans="1:13" x14ac:dyDescent="0.2">
      <c r="A23" s="6" t="str">
        <f t="shared" si="0"/>
        <v/>
      </c>
      <c r="B23" s="3"/>
      <c r="C23" s="6" t="str">
        <f>IFERROR(VLOOKUP(B23,メニュー!$B$3:$C$12,2,FALSE),"")</f>
        <v/>
      </c>
      <c r="D23" s="3"/>
      <c r="E23" s="6" t="str">
        <f>IFERROR(VLOOKUP(D23,メニュー!$D$3:$E$4,2,FALSE),"")</f>
        <v/>
      </c>
      <c r="F23" s="3"/>
      <c r="G23" s="6"/>
      <c r="H23" s="3"/>
      <c r="I23" s="6" t="str">
        <f>IFERROR(IF(F23&lt;&gt;"通信機器購入なし",VLOOKUP(F23&amp;H23,メニュー!$H$30:$I$39,2,0),VLOOKUP(D23&amp;F23&amp;H23,メニュー!$H$25:$I$26,2,0)),"")</f>
        <v/>
      </c>
      <c r="J23" s="7"/>
      <c r="K23" s="7"/>
      <c r="L23" s="7"/>
      <c r="M23" s="7"/>
    </row>
    <row r="24" spans="1:13" x14ac:dyDescent="0.2">
      <c r="A24" s="6" t="str">
        <f t="shared" si="0"/>
        <v/>
      </c>
      <c r="B24" s="3"/>
      <c r="C24" s="6" t="str">
        <f>IFERROR(VLOOKUP(B24,メニュー!$B$3:$C$12,2,FALSE),"")</f>
        <v/>
      </c>
      <c r="D24" s="3"/>
      <c r="E24" s="6" t="str">
        <f>IFERROR(VLOOKUP(D24,メニュー!$D$3:$E$4,2,FALSE),"")</f>
        <v/>
      </c>
      <c r="F24" s="3"/>
      <c r="G24" s="6"/>
      <c r="H24" s="3"/>
      <c r="I24" s="6" t="str">
        <f>IFERROR(IF(F24&lt;&gt;"通信機器購入なし",VLOOKUP(F24&amp;H24,メニュー!$H$30:$I$39,2,0),VLOOKUP(D24&amp;F24&amp;H24,メニュー!$H$25:$I$26,2,0)),"")</f>
        <v/>
      </c>
      <c r="J24" s="7"/>
      <c r="K24" s="7"/>
      <c r="L24" s="7"/>
      <c r="M24" s="7"/>
    </row>
    <row r="25" spans="1:13" x14ac:dyDescent="0.2">
      <c r="A25" s="6" t="str">
        <f t="shared" si="0"/>
        <v/>
      </c>
      <c r="B25" s="3"/>
      <c r="C25" s="6" t="str">
        <f>IFERROR(VLOOKUP(B25,メニュー!$B$3:$C$12,2,FALSE),"")</f>
        <v/>
      </c>
      <c r="D25" s="3"/>
      <c r="E25" s="6" t="str">
        <f>IFERROR(VLOOKUP(D25,メニュー!$D$3:$E$4,2,FALSE),"")</f>
        <v/>
      </c>
      <c r="F25" s="3"/>
      <c r="G25" s="6"/>
      <c r="H25" s="3"/>
      <c r="I25" s="6" t="str">
        <f>IFERROR(IF(F25&lt;&gt;"通信機器購入なし",VLOOKUP(F25&amp;H25,メニュー!$H$30:$I$39,2,0),VLOOKUP(D25&amp;F25&amp;H25,メニュー!$H$25:$I$26,2,0)),"")</f>
        <v/>
      </c>
      <c r="J25" s="7"/>
      <c r="K25" s="7"/>
      <c r="L25" s="7"/>
      <c r="M25" s="7"/>
    </row>
    <row r="26" spans="1:13" x14ac:dyDescent="0.2">
      <c r="A26" s="6" t="str">
        <f t="shared" si="0"/>
        <v/>
      </c>
      <c r="B26" s="3"/>
      <c r="C26" s="6" t="str">
        <f>IFERROR(VLOOKUP(B26,メニュー!$B$3:$C$12,2,FALSE),"")</f>
        <v/>
      </c>
      <c r="D26" s="3"/>
      <c r="E26" s="6" t="str">
        <f>IFERROR(VLOOKUP(D26,メニュー!$D$3:$E$4,2,FALSE),"")</f>
        <v/>
      </c>
      <c r="F26" s="3"/>
      <c r="G26" s="6"/>
      <c r="H26" s="3"/>
      <c r="I26" s="6" t="str">
        <f>IFERROR(IF(F26&lt;&gt;"通信機器購入なし",VLOOKUP(F26&amp;H26,メニュー!$H$30:$I$39,2,0),VLOOKUP(D26&amp;F26&amp;H26,メニュー!$H$25:$I$26,2,0)),"")</f>
        <v/>
      </c>
      <c r="J26" s="7"/>
      <c r="K26" s="7"/>
      <c r="L26" s="7"/>
      <c r="M26" s="7"/>
    </row>
    <row r="27" spans="1:13" x14ac:dyDescent="0.2">
      <c r="A27" s="6" t="str">
        <f t="shared" si="0"/>
        <v/>
      </c>
      <c r="B27" s="3"/>
      <c r="C27" s="6" t="str">
        <f>IFERROR(VLOOKUP(B27,メニュー!$B$3:$C$12,2,FALSE),"")</f>
        <v/>
      </c>
      <c r="D27" s="3"/>
      <c r="E27" s="6" t="str">
        <f>IFERROR(VLOOKUP(D27,メニュー!$D$3:$E$4,2,FALSE),"")</f>
        <v/>
      </c>
      <c r="F27" s="3"/>
      <c r="G27" s="6"/>
      <c r="H27" s="3"/>
      <c r="I27" s="6" t="str">
        <f>IFERROR(IF(F27&lt;&gt;"通信機器購入なし",VLOOKUP(F27&amp;H27,メニュー!$H$30:$I$39,2,0),VLOOKUP(D27&amp;F27&amp;H27,メニュー!$H$25:$I$26,2,0)),"")</f>
        <v/>
      </c>
      <c r="J27" s="7"/>
      <c r="K27" s="7"/>
      <c r="L27" s="7"/>
      <c r="M27" s="7"/>
    </row>
    <row r="28" spans="1:13" x14ac:dyDescent="0.2">
      <c r="A28" s="6" t="str">
        <f t="shared" si="0"/>
        <v/>
      </c>
      <c r="B28" s="3"/>
      <c r="C28" s="6" t="str">
        <f>IFERROR(VLOOKUP(B28,メニュー!$B$3:$C$12,2,FALSE),"")</f>
        <v/>
      </c>
      <c r="D28" s="3"/>
      <c r="E28" s="6" t="str">
        <f>IFERROR(VLOOKUP(D28,メニュー!$D$3:$E$4,2,FALSE),"")</f>
        <v/>
      </c>
      <c r="F28" s="3"/>
      <c r="G28" s="6"/>
      <c r="H28" s="3"/>
      <c r="I28" s="6" t="str">
        <f>IFERROR(IF(F28&lt;&gt;"通信機器購入なし",VLOOKUP(F28&amp;H28,メニュー!$H$30:$I$39,2,0),VLOOKUP(D28&amp;F28&amp;H28,メニュー!$H$25:$I$26,2,0)),"")</f>
        <v/>
      </c>
      <c r="J28" s="7"/>
      <c r="K28" s="7"/>
      <c r="L28" s="7"/>
      <c r="M28" s="7"/>
    </row>
    <row r="29" spans="1:13" x14ac:dyDescent="0.2">
      <c r="A29" s="6" t="str">
        <f t="shared" si="0"/>
        <v/>
      </c>
      <c r="B29" s="3"/>
      <c r="C29" s="6" t="str">
        <f>IFERROR(VLOOKUP(B29,メニュー!$B$3:$C$12,2,FALSE),"")</f>
        <v/>
      </c>
      <c r="D29" s="3"/>
      <c r="E29" s="6" t="str">
        <f>IFERROR(VLOOKUP(D29,メニュー!$D$3:$E$4,2,FALSE),"")</f>
        <v/>
      </c>
      <c r="F29" s="3"/>
      <c r="G29" s="6"/>
      <c r="H29" s="3"/>
      <c r="I29" s="6" t="str">
        <f>IFERROR(IF(F29&lt;&gt;"通信機器購入なし",VLOOKUP(F29&amp;H29,メニュー!$H$30:$I$39,2,0),VLOOKUP(D29&amp;F29&amp;H29,メニュー!$H$25:$I$26,2,0)),"")</f>
        <v/>
      </c>
      <c r="J29" s="7"/>
      <c r="K29" s="7"/>
      <c r="L29" s="7"/>
      <c r="M29" s="7"/>
    </row>
    <row r="30" spans="1:13" x14ac:dyDescent="0.2">
      <c r="A30" s="6" t="str">
        <f t="shared" si="0"/>
        <v/>
      </c>
      <c r="B30" s="3"/>
      <c r="C30" s="6" t="str">
        <f>IFERROR(VLOOKUP(B30,メニュー!$B$3:$C$12,2,FALSE),"")</f>
        <v/>
      </c>
      <c r="D30" s="3"/>
      <c r="E30" s="6" t="str">
        <f>IFERROR(VLOOKUP(D30,メニュー!$D$3:$E$4,2,FALSE),"")</f>
        <v/>
      </c>
      <c r="F30" s="3"/>
      <c r="G30" s="6"/>
      <c r="H30" s="3"/>
      <c r="I30" s="6" t="str">
        <f>IFERROR(IF(F30&lt;&gt;"通信機器購入なし",VLOOKUP(F30&amp;H30,メニュー!$H$30:$I$39,2,0),VLOOKUP(D30&amp;F30&amp;H30,メニュー!$H$25:$I$26,2,0)),"")</f>
        <v/>
      </c>
      <c r="J30" s="7"/>
      <c r="K30" s="7"/>
      <c r="L30" s="7"/>
      <c r="M30" s="7"/>
    </row>
    <row r="31" spans="1:13" x14ac:dyDescent="0.2">
      <c r="A31" s="6" t="str">
        <f t="shared" si="0"/>
        <v/>
      </c>
      <c r="B31" s="3"/>
      <c r="C31" s="6" t="str">
        <f>IFERROR(VLOOKUP(B31,メニュー!$B$3:$C$12,2,FALSE),"")</f>
        <v/>
      </c>
      <c r="D31" s="3"/>
      <c r="E31" s="6" t="str">
        <f>IFERROR(VLOOKUP(D31,メニュー!$D$3:$E$4,2,FALSE),"")</f>
        <v/>
      </c>
      <c r="F31" s="3"/>
      <c r="G31" s="6"/>
      <c r="H31" s="3"/>
      <c r="I31" s="6" t="str">
        <f>IFERROR(IF(F31&lt;&gt;"通信機器購入なし",VLOOKUP(F31&amp;H31,メニュー!$H$30:$I$39,2,0),VLOOKUP(D31&amp;F31&amp;H31,メニュー!$H$25:$I$26,2,0)),"")</f>
        <v/>
      </c>
      <c r="J31" s="7"/>
      <c r="K31" s="7"/>
      <c r="L31" s="7"/>
      <c r="M31" s="7"/>
    </row>
    <row r="32" spans="1:13" x14ac:dyDescent="0.2">
      <c r="A32" s="6" t="str">
        <f t="shared" si="0"/>
        <v/>
      </c>
      <c r="B32" s="3"/>
      <c r="C32" s="6" t="str">
        <f>IFERROR(VLOOKUP(B32,メニュー!$B$3:$C$12,2,FALSE),"")</f>
        <v/>
      </c>
      <c r="D32" s="3"/>
      <c r="E32" s="6" t="str">
        <f>IFERROR(VLOOKUP(D32,メニュー!$D$3:$E$4,2,FALSE),"")</f>
        <v/>
      </c>
      <c r="F32" s="3"/>
      <c r="G32" s="6"/>
      <c r="H32" s="3"/>
      <c r="I32" s="6" t="str">
        <f>IFERROR(IF(F32&lt;&gt;"通信機器購入なし",VLOOKUP(F32&amp;H32,メニュー!$H$30:$I$39,2,0),VLOOKUP(D32&amp;F32&amp;H32,メニュー!$H$25:$I$26,2,0)),"")</f>
        <v/>
      </c>
      <c r="J32" s="7"/>
      <c r="K32" s="7"/>
      <c r="L32" s="7"/>
      <c r="M32" s="7"/>
    </row>
    <row r="33" spans="1:13" x14ac:dyDescent="0.2">
      <c r="A33" s="6" t="str">
        <f t="shared" si="0"/>
        <v/>
      </c>
      <c r="B33" s="3"/>
      <c r="C33" s="6" t="str">
        <f>IFERROR(VLOOKUP(B33,メニュー!$B$3:$C$12,2,FALSE),"")</f>
        <v/>
      </c>
      <c r="D33" s="3"/>
      <c r="E33" s="6" t="str">
        <f>IFERROR(VLOOKUP(D33,メニュー!$D$3:$E$4,2,FALSE),"")</f>
        <v/>
      </c>
      <c r="F33" s="3"/>
      <c r="G33" s="6"/>
      <c r="H33" s="3"/>
      <c r="I33" s="6" t="str">
        <f>IFERROR(IF(F33&lt;&gt;"通信機器購入なし",VLOOKUP(F33&amp;H33,メニュー!$H$30:$I$39,2,0),VLOOKUP(D33&amp;F33&amp;H33,メニュー!$H$25:$I$26,2,0)),"")</f>
        <v/>
      </c>
      <c r="J33" s="7"/>
      <c r="K33" s="7"/>
      <c r="L33" s="7"/>
      <c r="M33" s="7"/>
    </row>
    <row r="34" spans="1:13" x14ac:dyDescent="0.2">
      <c r="A34" s="6" t="str">
        <f t="shared" si="0"/>
        <v/>
      </c>
      <c r="B34" s="3"/>
      <c r="C34" s="6" t="str">
        <f>IFERROR(VLOOKUP(B34,メニュー!$B$3:$C$12,2,FALSE),"")</f>
        <v/>
      </c>
      <c r="D34" s="3"/>
      <c r="E34" s="6" t="str">
        <f>IFERROR(VLOOKUP(D34,メニュー!$D$3:$E$4,2,FALSE),"")</f>
        <v/>
      </c>
      <c r="F34" s="3"/>
      <c r="G34" s="6"/>
      <c r="H34" s="3"/>
      <c r="I34" s="6" t="str">
        <f>IFERROR(IF(F34&lt;&gt;"通信機器購入なし",VLOOKUP(F34&amp;H34,メニュー!$H$30:$I$39,2,0),VLOOKUP(D34&amp;F34&amp;H34,メニュー!$H$25:$I$26,2,0)),"")</f>
        <v/>
      </c>
      <c r="J34" s="7"/>
      <c r="K34" s="7"/>
      <c r="L34" s="7"/>
      <c r="M34" s="7"/>
    </row>
    <row r="35" spans="1:13" x14ac:dyDescent="0.2">
      <c r="A35" s="6" t="str">
        <f t="shared" si="0"/>
        <v/>
      </c>
      <c r="B35" s="3"/>
      <c r="C35" s="6" t="str">
        <f>IFERROR(VLOOKUP(B35,メニュー!$B$3:$C$12,2,FALSE),"")</f>
        <v/>
      </c>
      <c r="D35" s="3"/>
      <c r="E35" s="6" t="str">
        <f>IFERROR(VLOOKUP(D35,メニュー!$D$3:$E$4,2,FALSE),"")</f>
        <v/>
      </c>
      <c r="F35" s="3"/>
      <c r="G35" s="6"/>
      <c r="H35" s="3"/>
      <c r="I35" s="6" t="str">
        <f>IFERROR(IF(F35&lt;&gt;"通信機器購入なし",VLOOKUP(F35&amp;H35,メニュー!$H$30:$I$39,2,0),VLOOKUP(D35&amp;F35&amp;H35,メニュー!$H$25:$I$26,2,0)),"")</f>
        <v/>
      </c>
      <c r="J35" s="7"/>
      <c r="K35" s="7"/>
      <c r="L35" s="7"/>
      <c r="M35" s="7"/>
    </row>
    <row r="36" spans="1:13" x14ac:dyDescent="0.2">
      <c r="A36" s="6" t="str">
        <f t="shared" si="0"/>
        <v/>
      </c>
      <c r="B36" s="3"/>
      <c r="C36" s="6" t="str">
        <f>IFERROR(VLOOKUP(B36,メニュー!$B$3:$C$12,2,FALSE),"")</f>
        <v/>
      </c>
      <c r="D36" s="3"/>
      <c r="E36" s="6" t="str">
        <f>IFERROR(VLOOKUP(D36,メニュー!$D$3:$E$4,2,FALSE),"")</f>
        <v/>
      </c>
      <c r="F36" s="3"/>
      <c r="G36" s="6"/>
      <c r="H36" s="3"/>
      <c r="I36" s="6" t="str">
        <f>IFERROR(IF(F36&lt;&gt;"通信機器購入なし",VLOOKUP(F36&amp;H36,メニュー!$H$30:$I$39,2,0),VLOOKUP(D36&amp;F36&amp;H36,メニュー!$H$25:$I$26,2,0)),"")</f>
        <v/>
      </c>
      <c r="J36" s="7"/>
      <c r="K36" s="7"/>
      <c r="L36" s="7"/>
      <c r="M36" s="7"/>
    </row>
    <row r="37" spans="1:13" x14ac:dyDescent="0.2">
      <c r="A37" s="6" t="str">
        <f t="shared" si="0"/>
        <v/>
      </c>
      <c r="B37" s="3"/>
      <c r="C37" s="6" t="str">
        <f>IFERROR(VLOOKUP(B37,メニュー!$B$3:$C$12,2,FALSE),"")</f>
        <v/>
      </c>
      <c r="D37" s="3"/>
      <c r="E37" s="6" t="str">
        <f>IFERROR(VLOOKUP(D37,メニュー!$D$3:$E$4,2,FALSE),"")</f>
        <v/>
      </c>
      <c r="F37" s="3"/>
      <c r="G37" s="6"/>
      <c r="H37" s="3"/>
      <c r="I37" s="6" t="str">
        <f>IFERROR(IF(F37&lt;&gt;"通信機器購入なし",VLOOKUP(F37&amp;H37,メニュー!$H$30:$I$39,2,0),VLOOKUP(D37&amp;F37&amp;H37,メニュー!$H$25:$I$26,2,0)),"")</f>
        <v/>
      </c>
      <c r="J37" s="7"/>
      <c r="K37" s="7"/>
      <c r="L37" s="7"/>
      <c r="M37" s="7"/>
    </row>
    <row r="38" spans="1:13" x14ac:dyDescent="0.2">
      <c r="A38" s="6" t="str">
        <f t="shared" si="0"/>
        <v/>
      </c>
      <c r="B38" s="3"/>
      <c r="C38" s="6" t="str">
        <f>IFERROR(VLOOKUP(B38,メニュー!$B$3:$C$12,2,FALSE),"")</f>
        <v/>
      </c>
      <c r="D38" s="3"/>
      <c r="E38" s="6" t="str">
        <f>IFERROR(VLOOKUP(D38,メニュー!$D$3:$E$4,2,FALSE),"")</f>
        <v/>
      </c>
      <c r="F38" s="3"/>
      <c r="G38" s="6"/>
      <c r="H38" s="3"/>
      <c r="I38" s="6" t="str">
        <f>IFERROR(IF(F38&lt;&gt;"通信機器購入なし",VLOOKUP(F38&amp;H38,メニュー!$H$30:$I$39,2,0),VLOOKUP(D38&amp;F38&amp;H38,メニュー!$H$25:$I$26,2,0)),"")</f>
        <v/>
      </c>
      <c r="J38" s="7"/>
      <c r="K38" s="7"/>
      <c r="L38" s="7"/>
      <c r="M38" s="7"/>
    </row>
    <row r="39" spans="1:13" x14ac:dyDescent="0.2">
      <c r="A39" s="6" t="str">
        <f t="shared" si="0"/>
        <v/>
      </c>
      <c r="B39" s="3"/>
      <c r="C39" s="6" t="str">
        <f>IFERROR(VLOOKUP(B39,メニュー!$B$3:$C$12,2,FALSE),"")</f>
        <v/>
      </c>
      <c r="D39" s="3"/>
      <c r="E39" s="6" t="str">
        <f>IFERROR(VLOOKUP(D39,メニュー!$D$3:$E$4,2,FALSE),"")</f>
        <v/>
      </c>
      <c r="F39" s="3"/>
      <c r="G39" s="6"/>
      <c r="H39" s="3"/>
      <c r="I39" s="6" t="str">
        <f>IFERROR(IF(F39&lt;&gt;"通信機器購入なし",VLOOKUP(F39&amp;H39,メニュー!$H$30:$I$39,2,0),VLOOKUP(D39&amp;F39&amp;H39,メニュー!$H$25:$I$26,2,0)),"")</f>
        <v/>
      </c>
      <c r="J39" s="7"/>
      <c r="K39" s="7"/>
      <c r="L39" s="7"/>
      <c r="M39" s="7"/>
    </row>
    <row r="40" spans="1:13" x14ac:dyDescent="0.2">
      <c r="A40" s="6" t="str">
        <f t="shared" si="0"/>
        <v/>
      </c>
      <c r="B40" s="3"/>
      <c r="C40" s="6" t="str">
        <f>IFERROR(VLOOKUP(B40,メニュー!$B$3:$C$12,2,FALSE),"")</f>
        <v/>
      </c>
      <c r="D40" s="3"/>
      <c r="E40" s="6" t="str">
        <f>IFERROR(VLOOKUP(D40,メニュー!$D$3:$E$4,2,FALSE),"")</f>
        <v/>
      </c>
      <c r="F40" s="3"/>
      <c r="G40" s="6"/>
      <c r="H40" s="3"/>
      <c r="I40" s="6" t="str">
        <f>IFERROR(IF(F40&lt;&gt;"通信機器購入なし",VLOOKUP(F40&amp;H40,メニュー!$H$30:$I$39,2,0),VLOOKUP(D40&amp;F40&amp;H40,メニュー!$H$25:$I$26,2,0)),"")</f>
        <v/>
      </c>
      <c r="J40" s="7"/>
      <c r="K40" s="7"/>
      <c r="L40" s="7"/>
      <c r="M40" s="7"/>
    </row>
    <row r="41" spans="1:13" x14ac:dyDescent="0.2">
      <c r="A41" s="6" t="str">
        <f t="shared" si="0"/>
        <v/>
      </c>
      <c r="B41" s="3"/>
      <c r="C41" s="6" t="str">
        <f>IFERROR(VLOOKUP(B41,メニュー!$B$3:$C$12,2,FALSE),"")</f>
        <v/>
      </c>
      <c r="D41" s="3"/>
      <c r="E41" s="6" t="str">
        <f>IFERROR(VLOOKUP(D41,メニュー!$D$3:$E$4,2,FALSE),"")</f>
        <v/>
      </c>
      <c r="F41" s="3"/>
      <c r="G41" s="6"/>
      <c r="H41" s="3"/>
      <c r="I41" s="6" t="str">
        <f>IFERROR(IF(F41&lt;&gt;"通信機器購入なし",VLOOKUP(F41&amp;H41,メニュー!$H$30:$I$39,2,0),VLOOKUP(D41&amp;F41&amp;H41,メニュー!$H$25:$I$26,2,0)),"")</f>
        <v/>
      </c>
      <c r="J41" s="7"/>
      <c r="K41" s="7"/>
      <c r="L41" s="7"/>
      <c r="M41" s="7"/>
    </row>
    <row r="42" spans="1:13" x14ac:dyDescent="0.2">
      <c r="A42" s="6" t="str">
        <f t="shared" si="0"/>
        <v/>
      </c>
      <c r="B42" s="3"/>
      <c r="C42" s="6" t="str">
        <f>IFERROR(VLOOKUP(B42,メニュー!$B$3:$C$12,2,FALSE),"")</f>
        <v/>
      </c>
      <c r="D42" s="3"/>
      <c r="E42" s="6" t="str">
        <f>IFERROR(VLOOKUP(D42,メニュー!$D$3:$E$4,2,FALSE),"")</f>
        <v/>
      </c>
      <c r="F42" s="3"/>
      <c r="G42" s="6"/>
      <c r="H42" s="3"/>
      <c r="I42" s="6" t="str">
        <f>IFERROR(IF(F42&lt;&gt;"通信機器購入なし",VLOOKUP(F42&amp;H42,メニュー!$H$30:$I$39,2,0),VLOOKUP(D42&amp;F42&amp;H42,メニュー!$H$25:$I$26,2,0)),"")</f>
        <v/>
      </c>
      <c r="J42" s="7"/>
      <c r="K42" s="7"/>
      <c r="L42" s="7"/>
      <c r="M42" s="7"/>
    </row>
    <row r="43" spans="1:13" x14ac:dyDescent="0.2">
      <c r="A43" s="6" t="str">
        <f t="shared" si="0"/>
        <v/>
      </c>
      <c r="B43" s="3"/>
      <c r="C43" s="6" t="str">
        <f>IFERROR(VLOOKUP(B43,メニュー!$B$3:$C$12,2,FALSE),"")</f>
        <v/>
      </c>
      <c r="D43" s="3"/>
      <c r="E43" s="6" t="str">
        <f>IFERROR(VLOOKUP(D43,メニュー!$D$3:$E$4,2,FALSE),"")</f>
        <v/>
      </c>
      <c r="F43" s="3"/>
      <c r="G43" s="6"/>
      <c r="H43" s="3"/>
      <c r="I43" s="6" t="str">
        <f>IFERROR(IF(F43&lt;&gt;"通信機器購入なし",VLOOKUP(F43&amp;H43,メニュー!$H$30:$I$39,2,0),VLOOKUP(D43&amp;F43&amp;H43,メニュー!$H$25:$I$26,2,0)),"")</f>
        <v/>
      </c>
      <c r="J43" s="7"/>
      <c r="K43" s="7"/>
      <c r="L43" s="7"/>
      <c r="M43" s="7"/>
    </row>
    <row r="44" spans="1:13" x14ac:dyDescent="0.2">
      <c r="A44" s="6" t="str">
        <f t="shared" si="0"/>
        <v/>
      </c>
      <c r="B44" s="3"/>
      <c r="C44" s="6" t="str">
        <f>IFERROR(VLOOKUP(B44,メニュー!$B$3:$C$12,2,FALSE),"")</f>
        <v/>
      </c>
      <c r="D44" s="3"/>
      <c r="E44" s="6" t="str">
        <f>IFERROR(VLOOKUP(D44,メニュー!$D$3:$E$4,2,FALSE),"")</f>
        <v/>
      </c>
      <c r="F44" s="3"/>
      <c r="G44" s="6"/>
      <c r="H44" s="3"/>
      <c r="I44" s="6" t="str">
        <f>IFERROR(IF(F44&lt;&gt;"通信機器購入なし",VLOOKUP(F44&amp;H44,メニュー!$H$30:$I$39,2,0),VLOOKUP(D44&amp;F44&amp;H44,メニュー!$H$25:$I$26,2,0)),"")</f>
        <v/>
      </c>
      <c r="J44" s="7"/>
      <c r="K44" s="7"/>
      <c r="L44" s="7"/>
      <c r="M44" s="7"/>
    </row>
    <row r="45" spans="1:13" x14ac:dyDescent="0.2">
      <c r="A45" s="6" t="str">
        <f t="shared" si="0"/>
        <v/>
      </c>
      <c r="B45" s="3"/>
      <c r="C45" s="6" t="str">
        <f>IFERROR(VLOOKUP(B45,メニュー!$B$3:$C$12,2,FALSE),"")</f>
        <v/>
      </c>
      <c r="D45" s="3"/>
      <c r="E45" s="6" t="str">
        <f>IFERROR(VLOOKUP(D45,メニュー!$D$3:$E$4,2,FALSE),"")</f>
        <v/>
      </c>
      <c r="F45" s="3"/>
      <c r="G45" s="6"/>
      <c r="H45" s="3"/>
      <c r="I45" s="6" t="str">
        <f>IFERROR(IF(F45&lt;&gt;"通信機器購入なし",VLOOKUP(F45&amp;H45,メニュー!$H$30:$I$39,2,0),VLOOKUP(D45&amp;F45&amp;H45,メニュー!$H$25:$I$26,2,0)),"")</f>
        <v/>
      </c>
      <c r="J45" s="7"/>
      <c r="K45" s="7"/>
      <c r="L45" s="7"/>
      <c r="M45" s="7"/>
    </row>
    <row r="46" spans="1:13" x14ac:dyDescent="0.2">
      <c r="A46" s="6" t="str">
        <f t="shared" si="0"/>
        <v/>
      </c>
      <c r="B46" s="3"/>
      <c r="C46" s="6" t="str">
        <f>IFERROR(VLOOKUP(B46,メニュー!$B$3:$C$12,2,FALSE),"")</f>
        <v/>
      </c>
      <c r="D46" s="3"/>
      <c r="E46" s="6" t="str">
        <f>IFERROR(VLOOKUP(D46,メニュー!$D$3:$E$4,2,FALSE),"")</f>
        <v/>
      </c>
      <c r="F46" s="3"/>
      <c r="G46" s="6"/>
      <c r="H46" s="3"/>
      <c r="I46" s="6" t="str">
        <f>IFERROR(IF(F46&lt;&gt;"通信機器購入なし",VLOOKUP(F46&amp;H46,メニュー!$H$30:$I$39,2,0),VLOOKUP(D46&amp;F46&amp;H46,メニュー!$H$25:$I$26,2,0)),"")</f>
        <v/>
      </c>
      <c r="J46" s="7"/>
      <c r="K46" s="7"/>
      <c r="L46" s="7"/>
      <c r="M46" s="7"/>
    </row>
    <row r="47" spans="1:13" x14ac:dyDescent="0.2">
      <c r="A47" s="6" t="str">
        <f t="shared" si="0"/>
        <v/>
      </c>
      <c r="B47" s="3"/>
      <c r="C47" s="6" t="str">
        <f>IFERROR(VLOOKUP(B47,メニュー!$B$3:$C$12,2,FALSE),"")</f>
        <v/>
      </c>
      <c r="D47" s="3"/>
      <c r="E47" s="6" t="str">
        <f>IFERROR(VLOOKUP(D47,メニュー!$D$3:$E$4,2,FALSE),"")</f>
        <v/>
      </c>
      <c r="F47" s="3"/>
      <c r="G47" s="6"/>
      <c r="H47" s="3"/>
      <c r="I47" s="6" t="str">
        <f>IFERROR(IF(F47&lt;&gt;"通信機器購入なし",VLOOKUP(F47&amp;H47,メニュー!$H$30:$I$39,2,0),VLOOKUP(D47&amp;F47&amp;H47,メニュー!$H$25:$I$26,2,0)),"")</f>
        <v/>
      </c>
      <c r="J47" s="7"/>
      <c r="K47" s="7"/>
      <c r="L47" s="7"/>
      <c r="M47" s="7"/>
    </row>
    <row r="48" spans="1:13" x14ac:dyDescent="0.2">
      <c r="A48" s="6" t="str">
        <f t="shared" si="0"/>
        <v/>
      </c>
      <c r="B48" s="3"/>
      <c r="C48" s="6" t="str">
        <f>IFERROR(VLOOKUP(B48,メニュー!$B$3:$C$12,2,FALSE),"")</f>
        <v/>
      </c>
      <c r="D48" s="3"/>
      <c r="E48" s="6" t="str">
        <f>IFERROR(VLOOKUP(D48,メニュー!$D$3:$E$4,2,FALSE),"")</f>
        <v/>
      </c>
      <c r="F48" s="3"/>
      <c r="G48" s="6"/>
      <c r="H48" s="3"/>
      <c r="I48" s="6" t="str">
        <f>IFERROR(IF(F48&lt;&gt;"通信機器購入なし",VLOOKUP(F48&amp;H48,メニュー!$H$30:$I$39,2,0),VLOOKUP(D48&amp;F48&amp;H48,メニュー!$H$25:$I$26,2,0)),"")</f>
        <v/>
      </c>
      <c r="J48" s="7"/>
      <c r="K48" s="7"/>
      <c r="L48" s="7"/>
      <c r="M48" s="7"/>
    </row>
    <row r="49" spans="1:13" x14ac:dyDescent="0.2">
      <c r="A49" s="6" t="str">
        <f t="shared" si="0"/>
        <v/>
      </c>
      <c r="B49" s="3"/>
      <c r="C49" s="6" t="str">
        <f>IFERROR(VLOOKUP(B49,メニュー!$B$3:$C$12,2,FALSE),"")</f>
        <v/>
      </c>
      <c r="D49" s="3"/>
      <c r="E49" s="6" t="str">
        <f>IFERROR(VLOOKUP(D49,メニュー!$D$3:$E$4,2,FALSE),"")</f>
        <v/>
      </c>
      <c r="F49" s="3"/>
      <c r="G49" s="6"/>
      <c r="H49" s="3"/>
      <c r="I49" s="6" t="str">
        <f>IFERROR(IF(F49&lt;&gt;"通信機器購入なし",VLOOKUP(F49&amp;H49,メニュー!$H$30:$I$39,2,0),VLOOKUP(D49&amp;F49&amp;H49,メニュー!$H$25:$I$26,2,0)),"")</f>
        <v/>
      </c>
      <c r="J49" s="7"/>
      <c r="K49" s="7"/>
      <c r="L49" s="7"/>
      <c r="M49" s="7"/>
    </row>
    <row r="50" spans="1:13" x14ac:dyDescent="0.2">
      <c r="A50" s="6" t="str">
        <f t="shared" si="0"/>
        <v/>
      </c>
      <c r="B50" s="3"/>
      <c r="C50" s="6" t="str">
        <f>IFERROR(VLOOKUP(B50,メニュー!$B$3:$C$12,2,FALSE),"")</f>
        <v/>
      </c>
      <c r="D50" s="3"/>
      <c r="E50" s="6" t="str">
        <f>IFERROR(VLOOKUP(D50,メニュー!$D$3:$E$4,2,FALSE),"")</f>
        <v/>
      </c>
      <c r="F50" s="3"/>
      <c r="G50" s="6"/>
      <c r="H50" s="3"/>
      <c r="I50" s="6" t="str">
        <f>IFERROR(IF(F50&lt;&gt;"通信機器購入なし",VLOOKUP(F50&amp;H50,メニュー!$H$30:$I$39,2,0),VLOOKUP(D50&amp;F50&amp;H50,メニュー!$H$25:$I$26,2,0)),"")</f>
        <v/>
      </c>
      <c r="J50" s="7"/>
      <c r="K50" s="7"/>
      <c r="L50" s="7"/>
      <c r="M50" s="7"/>
    </row>
    <row r="51" spans="1:13" x14ac:dyDescent="0.2">
      <c r="A51" s="6" t="str">
        <f t="shared" si="0"/>
        <v/>
      </c>
      <c r="B51" s="3"/>
      <c r="C51" s="6" t="str">
        <f>IFERROR(VLOOKUP(B51,メニュー!$B$3:$C$12,2,FALSE),"")</f>
        <v/>
      </c>
      <c r="D51" s="3"/>
      <c r="E51" s="6" t="str">
        <f>IFERROR(VLOOKUP(D51,メニュー!$D$3:$E$4,2,FALSE),"")</f>
        <v/>
      </c>
      <c r="F51" s="3"/>
      <c r="G51" s="6"/>
      <c r="H51" s="3"/>
      <c r="I51" s="6" t="str">
        <f>IFERROR(IF(F51&lt;&gt;"通信機器購入なし",VLOOKUP(F51&amp;H51,メニュー!$H$30:$I$39,2,0),VLOOKUP(D51&amp;F51&amp;H51,メニュー!$H$25:$I$26,2,0)),"")</f>
        <v/>
      </c>
      <c r="J51" s="7"/>
      <c r="K51" s="7"/>
      <c r="L51" s="7"/>
      <c r="M51" s="7"/>
    </row>
    <row r="52" spans="1:13" x14ac:dyDescent="0.2">
      <c r="A52" s="6" t="str">
        <f t="shared" si="0"/>
        <v/>
      </c>
      <c r="B52" s="3"/>
      <c r="C52" s="6" t="str">
        <f>IFERROR(VLOOKUP(B52,メニュー!$B$3:$C$12,2,FALSE),"")</f>
        <v/>
      </c>
      <c r="D52" s="3"/>
      <c r="E52" s="6" t="str">
        <f>IFERROR(VLOOKUP(D52,メニュー!$D$3:$E$4,2,FALSE),"")</f>
        <v/>
      </c>
      <c r="F52" s="3"/>
      <c r="G52" s="6"/>
      <c r="H52" s="3"/>
      <c r="I52" s="6" t="str">
        <f>IFERROR(IF(F52&lt;&gt;"通信機器購入なし",VLOOKUP(F52&amp;H52,メニュー!$H$30:$I$39,2,0),VLOOKUP(D52&amp;F52&amp;H52,メニュー!$H$25:$I$26,2,0)),"")</f>
        <v/>
      </c>
      <c r="J52" s="7"/>
      <c r="K52" s="7"/>
      <c r="L52" s="7"/>
      <c r="M52" s="7"/>
    </row>
    <row r="53" spans="1:13" x14ac:dyDescent="0.2">
      <c r="A53" s="6" t="str">
        <f t="shared" si="0"/>
        <v/>
      </c>
      <c r="B53" s="3"/>
      <c r="C53" s="6" t="str">
        <f>IFERROR(VLOOKUP(B53,メニュー!$B$3:$C$12,2,FALSE),"")</f>
        <v/>
      </c>
      <c r="D53" s="3"/>
      <c r="E53" s="6" t="str">
        <f>IFERROR(VLOOKUP(D53,メニュー!$D$3:$E$4,2,FALSE),"")</f>
        <v/>
      </c>
      <c r="F53" s="3"/>
      <c r="G53" s="6"/>
      <c r="H53" s="3"/>
      <c r="I53" s="6" t="str">
        <f>IFERROR(IF(F53&lt;&gt;"通信機器購入なし",VLOOKUP(F53&amp;H53,メニュー!$H$30:$I$39,2,0),VLOOKUP(D53&amp;F53&amp;H53,メニュー!$H$25:$I$26,2,0)),"")</f>
        <v/>
      </c>
      <c r="J53" s="7"/>
      <c r="K53" s="7"/>
      <c r="L53" s="7"/>
      <c r="M53" s="7"/>
    </row>
    <row r="54" spans="1:13" x14ac:dyDescent="0.2">
      <c r="A54" s="6" t="str">
        <f t="shared" si="0"/>
        <v/>
      </c>
      <c r="B54" s="3"/>
      <c r="C54" s="6" t="str">
        <f>IFERROR(VLOOKUP(B54,メニュー!$B$3:$C$12,2,FALSE),"")</f>
        <v/>
      </c>
      <c r="D54" s="3"/>
      <c r="E54" s="6" t="str">
        <f>IFERROR(VLOOKUP(D54,メニュー!$D$3:$E$4,2,FALSE),"")</f>
        <v/>
      </c>
      <c r="F54" s="3"/>
      <c r="G54" s="6"/>
      <c r="H54" s="3"/>
      <c r="I54" s="6" t="str">
        <f>IFERROR(IF(F54&lt;&gt;"通信機器購入なし",VLOOKUP(F54&amp;H54,メニュー!$H$30:$I$39,2,0),VLOOKUP(D54&amp;F54&amp;H54,メニュー!$H$25:$I$26,2,0)),"")</f>
        <v/>
      </c>
      <c r="J54" s="7"/>
      <c r="K54" s="7"/>
      <c r="L54" s="7"/>
      <c r="M54" s="7"/>
    </row>
    <row r="55" spans="1:13" x14ac:dyDescent="0.2">
      <c r="A55" s="6" t="str">
        <f t="shared" si="0"/>
        <v/>
      </c>
      <c r="B55" s="3"/>
      <c r="C55" s="6" t="str">
        <f>IFERROR(VLOOKUP(B55,メニュー!$B$3:$C$12,2,FALSE),"")</f>
        <v/>
      </c>
      <c r="D55" s="3"/>
      <c r="E55" s="6" t="str">
        <f>IFERROR(VLOOKUP(D55,メニュー!$D$3:$E$4,2,FALSE),"")</f>
        <v/>
      </c>
      <c r="F55" s="3"/>
      <c r="G55" s="6"/>
      <c r="H55" s="3"/>
      <c r="I55" s="6" t="str">
        <f>IFERROR(IF(F55&lt;&gt;"通信機器購入なし",VLOOKUP(F55&amp;H55,メニュー!$H$30:$I$39,2,0),VLOOKUP(D55&amp;F55&amp;H55,メニュー!$H$25:$I$26,2,0)),"")</f>
        <v/>
      </c>
      <c r="J55" s="7"/>
      <c r="K55" s="7"/>
      <c r="L55" s="7"/>
      <c r="M55" s="7"/>
    </row>
    <row r="56" spans="1:13" x14ac:dyDescent="0.2">
      <c r="A56" s="6" t="str">
        <f t="shared" si="0"/>
        <v/>
      </c>
      <c r="B56" s="3"/>
      <c r="C56" s="6" t="str">
        <f>IFERROR(VLOOKUP(B56,メニュー!$B$3:$C$12,2,FALSE),"")</f>
        <v/>
      </c>
      <c r="D56" s="3"/>
      <c r="E56" s="6" t="str">
        <f>IFERROR(VLOOKUP(D56,メニュー!$D$3:$E$4,2,FALSE),"")</f>
        <v/>
      </c>
      <c r="F56" s="3"/>
      <c r="G56" s="6"/>
      <c r="H56" s="3"/>
      <c r="I56" s="6" t="str">
        <f>IFERROR(IF(F56&lt;&gt;"通信機器購入なし",VLOOKUP(F56&amp;H56,メニュー!$H$30:$I$39,2,0),VLOOKUP(D56&amp;F56&amp;H56,メニュー!$H$25:$I$26,2,0)),"")</f>
        <v/>
      </c>
      <c r="J56" s="7"/>
      <c r="K56" s="7"/>
      <c r="L56" s="7"/>
      <c r="M56" s="7"/>
    </row>
    <row r="57" spans="1:13" x14ac:dyDescent="0.2">
      <c r="A57" s="6" t="str">
        <f t="shared" si="0"/>
        <v/>
      </c>
      <c r="B57" s="3"/>
      <c r="C57" s="6" t="str">
        <f>IFERROR(VLOOKUP(B57,メニュー!$B$3:$C$12,2,FALSE),"")</f>
        <v/>
      </c>
      <c r="D57" s="3"/>
      <c r="E57" s="6" t="str">
        <f>IFERROR(VLOOKUP(D57,メニュー!$D$3:$E$4,2,FALSE),"")</f>
        <v/>
      </c>
      <c r="F57" s="3"/>
      <c r="G57" s="6"/>
      <c r="H57" s="3"/>
      <c r="I57" s="6" t="str">
        <f>IFERROR(IF(F57&lt;&gt;"通信機器購入なし",VLOOKUP(F57&amp;H57,メニュー!$H$30:$I$39,2,0),VLOOKUP(D57&amp;F57&amp;H57,メニュー!$H$25:$I$26,2,0)),"")</f>
        <v/>
      </c>
      <c r="J57" s="7"/>
      <c r="K57" s="7"/>
      <c r="L57" s="7"/>
      <c r="M57" s="7"/>
    </row>
    <row r="58" spans="1:13" x14ac:dyDescent="0.2">
      <c r="A58" s="6" t="str">
        <f t="shared" si="0"/>
        <v/>
      </c>
      <c r="B58" s="3"/>
      <c r="C58" s="6" t="str">
        <f>IFERROR(VLOOKUP(B58,メニュー!$B$3:$C$12,2,FALSE),"")</f>
        <v/>
      </c>
      <c r="D58" s="3"/>
      <c r="E58" s="6" t="str">
        <f>IFERROR(VLOOKUP(D58,メニュー!$D$3:$E$4,2,FALSE),"")</f>
        <v/>
      </c>
      <c r="F58" s="3"/>
      <c r="G58" s="6"/>
      <c r="H58" s="3"/>
      <c r="I58" s="6" t="str">
        <f>IFERROR(IF(F58&lt;&gt;"通信機器購入なし",VLOOKUP(F58&amp;H58,メニュー!$H$30:$I$39,2,0),VLOOKUP(D58&amp;F58&amp;H58,メニュー!$H$25:$I$26,2,0)),"")</f>
        <v/>
      </c>
      <c r="J58" s="7"/>
      <c r="K58" s="7"/>
      <c r="L58" s="7"/>
      <c r="M58" s="7"/>
    </row>
    <row r="59" spans="1:13" x14ac:dyDescent="0.2">
      <c r="A59" s="6" t="str">
        <f t="shared" si="0"/>
        <v/>
      </c>
      <c r="B59" s="3"/>
      <c r="C59" s="6" t="str">
        <f>IFERROR(VLOOKUP(B59,メニュー!$B$3:$C$12,2,FALSE),"")</f>
        <v/>
      </c>
      <c r="D59" s="3"/>
      <c r="E59" s="6" t="str">
        <f>IFERROR(VLOOKUP(D59,メニュー!$D$3:$E$4,2,FALSE),"")</f>
        <v/>
      </c>
      <c r="F59" s="3"/>
      <c r="G59" s="6"/>
      <c r="H59" s="3"/>
      <c r="I59" s="6" t="str">
        <f>IFERROR(IF(F59&lt;&gt;"通信機器購入なし",VLOOKUP(F59&amp;H59,メニュー!$H$30:$I$39,2,0),VLOOKUP(D59&amp;F59&amp;H59,メニュー!$H$25:$I$26,2,0)),"")</f>
        <v/>
      </c>
      <c r="J59" s="7"/>
      <c r="K59" s="7"/>
      <c r="L59" s="7"/>
      <c r="M59" s="7"/>
    </row>
    <row r="60" spans="1:13" x14ac:dyDescent="0.2">
      <c r="A60" s="6" t="str">
        <f t="shared" si="0"/>
        <v/>
      </c>
      <c r="B60" s="3"/>
      <c r="C60" s="6" t="str">
        <f>IFERROR(VLOOKUP(B60,メニュー!$B$3:$C$12,2,FALSE),"")</f>
        <v/>
      </c>
      <c r="D60" s="3"/>
      <c r="E60" s="6" t="str">
        <f>IFERROR(VLOOKUP(D60,メニュー!$D$3:$E$4,2,FALSE),"")</f>
        <v/>
      </c>
      <c r="F60" s="3"/>
      <c r="G60" s="6"/>
      <c r="H60" s="3"/>
      <c r="I60" s="6" t="str">
        <f>IFERROR(IF(F60&lt;&gt;"通信機器購入なし",VLOOKUP(F60&amp;H60,メニュー!$H$30:$I$39,2,0),VLOOKUP(D60&amp;F60&amp;H60,メニュー!$H$25:$I$26,2,0)),"")</f>
        <v/>
      </c>
      <c r="J60" s="7"/>
      <c r="K60" s="7"/>
      <c r="L60" s="7"/>
      <c r="M60" s="7"/>
    </row>
    <row r="61" spans="1:13" x14ac:dyDescent="0.2">
      <c r="A61" s="6" t="str">
        <f t="shared" si="0"/>
        <v/>
      </c>
      <c r="B61" s="3"/>
      <c r="C61" s="6" t="str">
        <f>IFERROR(VLOOKUP(B61,メニュー!$B$3:$C$12,2,FALSE),"")</f>
        <v/>
      </c>
      <c r="D61" s="3"/>
      <c r="E61" s="6" t="str">
        <f>IFERROR(VLOOKUP(D61,メニュー!$D$3:$E$4,2,FALSE),"")</f>
        <v/>
      </c>
      <c r="F61" s="3"/>
      <c r="G61" s="6"/>
      <c r="H61" s="3"/>
      <c r="I61" s="6" t="str">
        <f>IFERROR(IF(F61&lt;&gt;"通信機器購入なし",VLOOKUP(F61&amp;H61,メニュー!$H$30:$I$39,2,0),VLOOKUP(D61&amp;F61&amp;H61,メニュー!$H$25:$I$26,2,0)),"")</f>
        <v/>
      </c>
      <c r="J61" s="7"/>
      <c r="K61" s="7"/>
      <c r="L61" s="7"/>
      <c r="M61" s="7"/>
    </row>
    <row r="62" spans="1:13" x14ac:dyDescent="0.2">
      <c r="A62" s="6" t="str">
        <f t="shared" si="0"/>
        <v/>
      </c>
      <c r="B62" s="3"/>
      <c r="C62" s="6" t="str">
        <f>IFERROR(VLOOKUP(B62,メニュー!$B$3:$C$12,2,FALSE),"")</f>
        <v/>
      </c>
      <c r="D62" s="3"/>
      <c r="E62" s="6" t="str">
        <f>IFERROR(VLOOKUP(D62,メニュー!$D$3:$E$4,2,FALSE),"")</f>
        <v/>
      </c>
      <c r="F62" s="3"/>
      <c r="G62" s="6"/>
      <c r="H62" s="3"/>
      <c r="I62" s="6" t="str">
        <f>IFERROR(IF(F62&lt;&gt;"通信機器購入なし",VLOOKUP(F62&amp;H62,メニュー!$H$30:$I$39,2,0),VLOOKUP(D62&amp;F62&amp;H62,メニュー!$H$25:$I$26,2,0)),"")</f>
        <v/>
      </c>
      <c r="J62" s="7"/>
      <c r="K62" s="7"/>
      <c r="L62" s="7"/>
      <c r="M62" s="7"/>
    </row>
    <row r="63" spans="1:13" x14ac:dyDescent="0.2">
      <c r="A63" s="6" t="str">
        <f t="shared" si="0"/>
        <v/>
      </c>
      <c r="B63" s="3"/>
      <c r="C63" s="6" t="str">
        <f>IFERROR(VLOOKUP(B63,メニュー!$B$3:$C$12,2,FALSE),"")</f>
        <v/>
      </c>
      <c r="D63" s="3"/>
      <c r="E63" s="6" t="str">
        <f>IFERROR(VLOOKUP(D63,メニュー!$D$3:$E$4,2,FALSE),"")</f>
        <v/>
      </c>
      <c r="F63" s="3"/>
      <c r="G63" s="6"/>
      <c r="H63" s="3"/>
      <c r="I63" s="6" t="str">
        <f>IFERROR(IF(F63&lt;&gt;"通信機器購入なし",VLOOKUP(F63&amp;H63,メニュー!$H$30:$I$39,2,0),VLOOKUP(D63&amp;F63&amp;H63,メニュー!$H$25:$I$26,2,0)),"")</f>
        <v/>
      </c>
      <c r="J63" s="7"/>
      <c r="K63" s="7"/>
      <c r="L63" s="7"/>
      <c r="M63" s="7"/>
    </row>
    <row r="64" spans="1:13" x14ac:dyDescent="0.2">
      <c r="A64" s="6" t="str">
        <f t="shared" si="0"/>
        <v/>
      </c>
      <c r="B64" s="3"/>
      <c r="C64" s="6" t="str">
        <f>IFERROR(VLOOKUP(B64,メニュー!$B$3:$C$12,2,FALSE),"")</f>
        <v/>
      </c>
      <c r="D64" s="3"/>
      <c r="E64" s="6" t="str">
        <f>IFERROR(VLOOKUP(D64,メニュー!$D$3:$E$4,2,FALSE),"")</f>
        <v/>
      </c>
      <c r="F64" s="3"/>
      <c r="G64" s="6"/>
      <c r="H64" s="3"/>
      <c r="I64" s="6" t="str">
        <f>IFERROR(IF(F64&lt;&gt;"通信機器購入なし",VLOOKUP(F64&amp;H64,メニュー!$H$30:$I$39,2,0),VLOOKUP(D64&amp;F64&amp;H64,メニュー!$H$25:$I$26,2,0)),"")</f>
        <v/>
      </c>
      <c r="J64" s="7"/>
      <c r="K64" s="7"/>
      <c r="L64" s="7"/>
      <c r="M64" s="7"/>
    </row>
    <row r="65" spans="1:13" x14ac:dyDescent="0.2">
      <c r="A65" s="6" t="str">
        <f t="shared" si="0"/>
        <v/>
      </c>
      <c r="B65" s="3"/>
      <c r="C65" s="6" t="str">
        <f>IFERROR(VLOOKUP(B65,メニュー!$B$3:$C$12,2,FALSE),"")</f>
        <v/>
      </c>
      <c r="D65" s="3"/>
      <c r="E65" s="6" t="str">
        <f>IFERROR(VLOOKUP(D65,メニュー!$D$3:$E$4,2,FALSE),"")</f>
        <v/>
      </c>
      <c r="F65" s="3"/>
      <c r="G65" s="6"/>
      <c r="H65" s="3"/>
      <c r="I65" s="6" t="str">
        <f>IFERROR(IF(F65&lt;&gt;"通信機器購入なし",VLOOKUP(F65&amp;H65,メニュー!$H$30:$I$39,2,0),VLOOKUP(D65&amp;F65&amp;H65,メニュー!$H$25:$I$26,2,0)),"")</f>
        <v/>
      </c>
      <c r="J65" s="7"/>
      <c r="K65" s="7"/>
      <c r="L65" s="7"/>
      <c r="M65" s="7"/>
    </row>
    <row r="66" spans="1:13" x14ac:dyDescent="0.2">
      <c r="A66" s="6" t="str">
        <f t="shared" si="0"/>
        <v/>
      </c>
      <c r="B66" s="3"/>
      <c r="C66" s="6" t="str">
        <f>IFERROR(VLOOKUP(B66,メニュー!$B$3:$C$12,2,FALSE),"")</f>
        <v/>
      </c>
      <c r="D66" s="3"/>
      <c r="E66" s="6" t="str">
        <f>IFERROR(VLOOKUP(D66,メニュー!$D$3:$E$4,2,FALSE),"")</f>
        <v/>
      </c>
      <c r="F66" s="3"/>
      <c r="G66" s="6"/>
      <c r="H66" s="3"/>
      <c r="I66" s="6" t="str">
        <f>IFERROR(IF(F66&lt;&gt;"通信機器購入なし",VLOOKUP(F66&amp;H66,メニュー!$H$30:$I$39,2,0),VLOOKUP(D66&amp;F66&amp;H66,メニュー!$H$25:$I$26,2,0)),"")</f>
        <v/>
      </c>
      <c r="J66" s="7"/>
      <c r="K66" s="7"/>
      <c r="L66" s="7"/>
      <c r="M66" s="7"/>
    </row>
    <row r="67" spans="1:13" x14ac:dyDescent="0.2">
      <c r="A67" s="6" t="str">
        <f t="shared" si="0"/>
        <v/>
      </c>
      <c r="B67" s="3"/>
      <c r="C67" s="6" t="str">
        <f>IFERROR(VLOOKUP(B67,メニュー!$B$3:$C$12,2,FALSE),"")</f>
        <v/>
      </c>
      <c r="D67" s="3"/>
      <c r="E67" s="6" t="str">
        <f>IFERROR(VLOOKUP(D67,メニュー!$D$3:$E$4,2,FALSE),"")</f>
        <v/>
      </c>
      <c r="F67" s="3"/>
      <c r="G67" s="6"/>
      <c r="H67" s="3"/>
      <c r="I67" s="6" t="str">
        <f>IFERROR(IF(F67&lt;&gt;"通信機器購入なし",VLOOKUP(F67&amp;H67,メニュー!$H$30:$I$39,2,0),VLOOKUP(D67&amp;F67&amp;H67,メニュー!$H$25:$I$26,2,0)),"")</f>
        <v/>
      </c>
      <c r="J67" s="7"/>
      <c r="K67" s="7"/>
      <c r="L67" s="7"/>
      <c r="M67" s="7"/>
    </row>
    <row r="68" spans="1:13" x14ac:dyDescent="0.2">
      <c r="A68" s="6" t="str">
        <f t="shared" ref="A68:A131" si="1">IF(B68="","",ROW()-1)</f>
        <v/>
      </c>
      <c r="B68" s="3"/>
      <c r="C68" s="6" t="str">
        <f>IFERROR(VLOOKUP(B68,メニュー!$B$3:$C$12,2,FALSE),"")</f>
        <v/>
      </c>
      <c r="D68" s="3"/>
      <c r="E68" s="6" t="str">
        <f>IFERROR(VLOOKUP(D68,メニュー!$D$3:$E$4,2,FALSE),"")</f>
        <v/>
      </c>
      <c r="F68" s="3"/>
      <c r="G68" s="6"/>
      <c r="H68" s="3"/>
      <c r="I68" s="6" t="str">
        <f>IFERROR(IF(F68&lt;&gt;"通信機器購入なし",VLOOKUP(F68&amp;H68,メニュー!$H$30:$I$39,2,0),VLOOKUP(D68&amp;F68&amp;H68,メニュー!$H$25:$I$26,2,0)),"")</f>
        <v/>
      </c>
      <c r="J68" s="7"/>
      <c r="K68" s="7"/>
      <c r="L68" s="7"/>
      <c r="M68" s="7"/>
    </row>
    <row r="69" spans="1:13" x14ac:dyDescent="0.2">
      <c r="A69" s="6" t="str">
        <f t="shared" si="1"/>
        <v/>
      </c>
      <c r="B69" s="3"/>
      <c r="C69" s="6" t="str">
        <f>IFERROR(VLOOKUP(B69,メニュー!$B$3:$C$12,2,FALSE),"")</f>
        <v/>
      </c>
      <c r="D69" s="3"/>
      <c r="E69" s="6" t="str">
        <f>IFERROR(VLOOKUP(D69,メニュー!$D$3:$E$4,2,FALSE),"")</f>
        <v/>
      </c>
      <c r="F69" s="3"/>
      <c r="G69" s="6"/>
      <c r="H69" s="3"/>
      <c r="I69" s="6" t="str">
        <f>IFERROR(IF(F69&lt;&gt;"通信機器購入なし",VLOOKUP(F69&amp;H69,メニュー!$H$30:$I$39,2,0),VLOOKUP(D69&amp;F69&amp;H69,メニュー!$H$25:$I$26,2,0)),"")</f>
        <v/>
      </c>
      <c r="J69" s="7"/>
      <c r="K69" s="7"/>
      <c r="L69" s="7"/>
      <c r="M69" s="7"/>
    </row>
    <row r="70" spans="1:13" x14ac:dyDescent="0.2">
      <c r="A70" s="6" t="str">
        <f t="shared" si="1"/>
        <v/>
      </c>
      <c r="B70" s="3"/>
      <c r="C70" s="6" t="str">
        <f>IFERROR(VLOOKUP(B70,メニュー!$B$3:$C$12,2,FALSE),"")</f>
        <v/>
      </c>
      <c r="D70" s="3"/>
      <c r="E70" s="6" t="str">
        <f>IFERROR(VLOOKUP(D70,メニュー!$D$3:$E$4,2,FALSE),"")</f>
        <v/>
      </c>
      <c r="F70" s="3"/>
      <c r="G70" s="6"/>
      <c r="H70" s="3"/>
      <c r="I70" s="6" t="str">
        <f>IFERROR(IF(F70&lt;&gt;"通信機器購入なし",VLOOKUP(F70&amp;H70,メニュー!$H$30:$I$39,2,0),VLOOKUP(D70&amp;F70&amp;H70,メニュー!$H$25:$I$26,2,0)),"")</f>
        <v/>
      </c>
      <c r="J70" s="7"/>
      <c r="K70" s="7"/>
      <c r="L70" s="7"/>
      <c r="M70" s="7"/>
    </row>
    <row r="71" spans="1:13" x14ac:dyDescent="0.2">
      <c r="A71" s="6" t="str">
        <f t="shared" si="1"/>
        <v/>
      </c>
      <c r="B71" s="3"/>
      <c r="C71" s="6" t="str">
        <f>IFERROR(VLOOKUP(B71,メニュー!$B$3:$C$12,2,FALSE),"")</f>
        <v/>
      </c>
      <c r="D71" s="3"/>
      <c r="E71" s="6" t="str">
        <f>IFERROR(VLOOKUP(D71,メニュー!$D$3:$E$4,2,FALSE),"")</f>
        <v/>
      </c>
      <c r="F71" s="3"/>
      <c r="G71" s="6"/>
      <c r="H71" s="3"/>
      <c r="I71" s="6" t="str">
        <f>IFERROR(IF(F71&lt;&gt;"通信機器購入なし",VLOOKUP(F71&amp;H71,メニュー!$H$30:$I$39,2,0),VLOOKUP(D71&amp;F71&amp;H71,メニュー!$H$25:$I$26,2,0)),"")</f>
        <v/>
      </c>
      <c r="J71" s="7"/>
      <c r="K71" s="7"/>
      <c r="L71" s="7"/>
      <c r="M71" s="7"/>
    </row>
    <row r="72" spans="1:13" x14ac:dyDescent="0.2">
      <c r="A72" s="6" t="str">
        <f t="shared" si="1"/>
        <v/>
      </c>
      <c r="B72" s="3"/>
      <c r="C72" s="6" t="str">
        <f>IFERROR(VLOOKUP(B72,メニュー!$B$3:$C$12,2,FALSE),"")</f>
        <v/>
      </c>
      <c r="D72" s="3"/>
      <c r="E72" s="6" t="str">
        <f>IFERROR(VLOOKUP(D72,メニュー!$D$3:$E$4,2,FALSE),"")</f>
        <v/>
      </c>
      <c r="F72" s="3"/>
      <c r="G72" s="6"/>
      <c r="H72" s="3"/>
      <c r="I72" s="6" t="str">
        <f>IFERROR(IF(F72&lt;&gt;"通信機器購入なし",VLOOKUP(F72&amp;H72,メニュー!$H$30:$I$39,2,0),VLOOKUP(D72&amp;F72&amp;H72,メニュー!$H$25:$I$26,2,0)),"")</f>
        <v/>
      </c>
      <c r="J72" s="7"/>
      <c r="K72" s="7"/>
      <c r="L72" s="7"/>
      <c r="M72" s="7"/>
    </row>
    <row r="73" spans="1:13" x14ac:dyDescent="0.2">
      <c r="A73" s="6" t="str">
        <f t="shared" si="1"/>
        <v/>
      </c>
      <c r="B73" s="3"/>
      <c r="C73" s="6" t="str">
        <f>IFERROR(VLOOKUP(B73,メニュー!$B$3:$C$12,2,FALSE),"")</f>
        <v/>
      </c>
      <c r="D73" s="3"/>
      <c r="E73" s="6" t="str">
        <f>IFERROR(VLOOKUP(D73,メニュー!$D$3:$E$4,2,FALSE),"")</f>
        <v/>
      </c>
      <c r="F73" s="3"/>
      <c r="G73" s="6"/>
      <c r="H73" s="3"/>
      <c r="I73" s="6" t="str">
        <f>IFERROR(IF(F73&lt;&gt;"通信機器購入なし",VLOOKUP(F73&amp;H73,メニュー!$H$30:$I$39,2,0),VLOOKUP(D73&amp;F73&amp;H73,メニュー!$H$25:$I$26,2,0)),"")</f>
        <v/>
      </c>
      <c r="J73" s="7"/>
      <c r="K73" s="7"/>
      <c r="L73" s="7"/>
      <c r="M73" s="7"/>
    </row>
    <row r="74" spans="1:13" x14ac:dyDescent="0.2">
      <c r="A74" s="6" t="str">
        <f t="shared" si="1"/>
        <v/>
      </c>
      <c r="B74" s="3"/>
      <c r="C74" s="6" t="str">
        <f>IFERROR(VLOOKUP(B74,メニュー!$B$3:$C$12,2,FALSE),"")</f>
        <v/>
      </c>
      <c r="D74" s="3"/>
      <c r="E74" s="6" t="str">
        <f>IFERROR(VLOOKUP(D74,メニュー!$D$3:$E$4,2,FALSE),"")</f>
        <v/>
      </c>
      <c r="F74" s="3"/>
      <c r="G74" s="6"/>
      <c r="H74" s="3"/>
      <c r="I74" s="6" t="str">
        <f>IFERROR(IF(F74&lt;&gt;"通信機器購入なし",VLOOKUP(F74&amp;H74,メニュー!$H$30:$I$39,2,0),VLOOKUP(D74&amp;F74&amp;H74,メニュー!$H$25:$I$26,2,0)),"")</f>
        <v/>
      </c>
      <c r="J74" s="7"/>
      <c r="K74" s="7"/>
      <c r="L74" s="7"/>
      <c r="M74" s="7"/>
    </row>
    <row r="75" spans="1:13" x14ac:dyDescent="0.2">
      <c r="A75" s="6" t="str">
        <f t="shared" si="1"/>
        <v/>
      </c>
      <c r="B75" s="3"/>
      <c r="C75" s="6" t="str">
        <f>IFERROR(VLOOKUP(B75,メニュー!$B$3:$C$12,2,FALSE),"")</f>
        <v/>
      </c>
      <c r="D75" s="3"/>
      <c r="E75" s="6" t="str">
        <f>IFERROR(VLOOKUP(D75,メニュー!$D$3:$E$4,2,FALSE),"")</f>
        <v/>
      </c>
      <c r="F75" s="3"/>
      <c r="G75" s="6"/>
      <c r="H75" s="3"/>
      <c r="I75" s="6" t="str">
        <f>IFERROR(IF(F75&lt;&gt;"通信機器購入なし",VLOOKUP(F75&amp;H75,メニュー!$H$30:$I$39,2,0),VLOOKUP(D75&amp;F75&amp;H75,メニュー!$H$25:$I$26,2,0)),"")</f>
        <v/>
      </c>
      <c r="J75" s="7"/>
      <c r="K75" s="7"/>
      <c r="L75" s="7"/>
      <c r="M75" s="7"/>
    </row>
    <row r="76" spans="1:13" x14ac:dyDescent="0.2">
      <c r="A76" s="6" t="str">
        <f t="shared" si="1"/>
        <v/>
      </c>
      <c r="B76" s="3"/>
      <c r="C76" s="6" t="str">
        <f>IFERROR(VLOOKUP(B76,メニュー!$B$3:$C$12,2,FALSE),"")</f>
        <v/>
      </c>
      <c r="D76" s="3"/>
      <c r="E76" s="6" t="str">
        <f>IFERROR(VLOOKUP(D76,メニュー!$D$3:$E$4,2,FALSE),"")</f>
        <v/>
      </c>
      <c r="F76" s="3"/>
      <c r="G76" s="6"/>
      <c r="H76" s="3"/>
      <c r="I76" s="6" t="str">
        <f>IFERROR(IF(F76&lt;&gt;"通信機器購入なし",VLOOKUP(F76&amp;H76,メニュー!$H$30:$I$39,2,0),VLOOKUP(D76&amp;F76&amp;H76,メニュー!$H$25:$I$26,2,0)),"")</f>
        <v/>
      </c>
      <c r="J76" s="7"/>
      <c r="K76" s="7"/>
      <c r="L76" s="7"/>
      <c r="M76" s="7"/>
    </row>
    <row r="77" spans="1:13" x14ac:dyDescent="0.2">
      <c r="A77" s="6" t="str">
        <f t="shared" si="1"/>
        <v/>
      </c>
      <c r="B77" s="3"/>
      <c r="C77" s="6" t="str">
        <f>IFERROR(VLOOKUP(B77,メニュー!$B$3:$C$12,2,FALSE),"")</f>
        <v/>
      </c>
      <c r="D77" s="3"/>
      <c r="E77" s="6" t="str">
        <f>IFERROR(VLOOKUP(D77,メニュー!$D$3:$E$4,2,FALSE),"")</f>
        <v/>
      </c>
      <c r="F77" s="3"/>
      <c r="G77" s="6"/>
      <c r="H77" s="3"/>
      <c r="I77" s="6" t="str">
        <f>IFERROR(IF(F77&lt;&gt;"通信機器購入なし",VLOOKUP(F77&amp;H77,メニュー!$H$30:$I$39,2,0),VLOOKUP(D77&amp;F77&amp;H77,メニュー!$H$25:$I$26,2,0)),"")</f>
        <v/>
      </c>
      <c r="J77" s="7"/>
      <c r="K77" s="7"/>
      <c r="L77" s="7"/>
      <c r="M77" s="7"/>
    </row>
    <row r="78" spans="1:13" x14ac:dyDescent="0.2">
      <c r="A78" s="6" t="str">
        <f t="shared" si="1"/>
        <v/>
      </c>
      <c r="B78" s="3"/>
      <c r="C78" s="6" t="str">
        <f>IFERROR(VLOOKUP(B78,メニュー!$B$3:$C$12,2,FALSE),"")</f>
        <v/>
      </c>
      <c r="D78" s="3"/>
      <c r="E78" s="6" t="str">
        <f>IFERROR(VLOOKUP(D78,メニュー!$D$3:$E$4,2,FALSE),"")</f>
        <v/>
      </c>
      <c r="F78" s="3"/>
      <c r="G78" s="6"/>
      <c r="H78" s="3"/>
      <c r="I78" s="6" t="str">
        <f>IFERROR(IF(F78&lt;&gt;"通信機器購入なし",VLOOKUP(F78&amp;H78,メニュー!$H$30:$I$39,2,0),VLOOKUP(D78&amp;F78&amp;H78,メニュー!$H$25:$I$26,2,0)),"")</f>
        <v/>
      </c>
      <c r="J78" s="7"/>
      <c r="K78" s="7"/>
      <c r="L78" s="7"/>
      <c r="M78" s="7"/>
    </row>
    <row r="79" spans="1:13" x14ac:dyDescent="0.2">
      <c r="A79" s="6" t="str">
        <f t="shared" si="1"/>
        <v/>
      </c>
      <c r="B79" s="3"/>
      <c r="C79" s="6" t="str">
        <f>IFERROR(VLOOKUP(B79,メニュー!$B$3:$C$12,2,FALSE),"")</f>
        <v/>
      </c>
      <c r="D79" s="3"/>
      <c r="E79" s="6" t="str">
        <f>IFERROR(VLOOKUP(D79,メニュー!$D$3:$E$4,2,FALSE),"")</f>
        <v/>
      </c>
      <c r="F79" s="3"/>
      <c r="G79" s="6"/>
      <c r="H79" s="3"/>
      <c r="I79" s="6" t="str">
        <f>IFERROR(IF(F79&lt;&gt;"通信機器購入なし",VLOOKUP(F79&amp;H79,メニュー!$H$30:$I$39,2,0),VLOOKUP(D79&amp;F79&amp;H79,メニュー!$H$25:$I$26,2,0)),"")</f>
        <v/>
      </c>
      <c r="J79" s="7"/>
      <c r="K79" s="7"/>
      <c r="L79" s="7"/>
      <c r="M79" s="7"/>
    </row>
    <row r="80" spans="1:13" x14ac:dyDescent="0.2">
      <c r="A80" s="6" t="str">
        <f t="shared" si="1"/>
        <v/>
      </c>
      <c r="B80" s="3"/>
      <c r="C80" s="6" t="str">
        <f>IFERROR(VLOOKUP(B80,メニュー!$B$3:$C$12,2,FALSE),"")</f>
        <v/>
      </c>
      <c r="D80" s="3"/>
      <c r="E80" s="6" t="str">
        <f>IFERROR(VLOOKUP(D80,メニュー!$D$3:$E$4,2,FALSE),"")</f>
        <v/>
      </c>
      <c r="F80" s="3"/>
      <c r="G80" s="6"/>
      <c r="H80" s="3"/>
      <c r="I80" s="6" t="str">
        <f>IFERROR(IF(F80&lt;&gt;"通信機器購入なし",VLOOKUP(F80&amp;H80,メニュー!$H$30:$I$39,2,0),VLOOKUP(D80&amp;F80&amp;H80,メニュー!$H$25:$I$26,2,0)),"")</f>
        <v/>
      </c>
      <c r="J80" s="7"/>
      <c r="K80" s="7"/>
      <c r="L80" s="7"/>
      <c r="M80" s="7"/>
    </row>
    <row r="81" spans="1:13" x14ac:dyDescent="0.2">
      <c r="A81" s="6" t="str">
        <f t="shared" si="1"/>
        <v/>
      </c>
      <c r="B81" s="3"/>
      <c r="C81" s="6" t="str">
        <f>IFERROR(VLOOKUP(B81,メニュー!$B$3:$C$12,2,FALSE),"")</f>
        <v/>
      </c>
      <c r="D81" s="3"/>
      <c r="E81" s="6" t="str">
        <f>IFERROR(VLOOKUP(D81,メニュー!$D$3:$E$4,2,FALSE),"")</f>
        <v/>
      </c>
      <c r="F81" s="3"/>
      <c r="G81" s="6"/>
      <c r="H81" s="3"/>
      <c r="I81" s="6" t="str">
        <f>IFERROR(IF(F81&lt;&gt;"通信機器購入なし",VLOOKUP(F81&amp;H81,メニュー!$H$30:$I$39,2,0),VLOOKUP(D81&amp;F81&amp;H81,メニュー!$H$25:$I$26,2,0)),"")</f>
        <v/>
      </c>
      <c r="J81" s="7"/>
      <c r="K81" s="7"/>
      <c r="L81" s="7"/>
      <c r="M81" s="7"/>
    </row>
    <row r="82" spans="1:13" x14ac:dyDescent="0.2">
      <c r="A82" s="6" t="str">
        <f t="shared" si="1"/>
        <v/>
      </c>
      <c r="B82" s="3"/>
      <c r="C82" s="6" t="str">
        <f>IFERROR(VLOOKUP(B82,メニュー!$B$3:$C$12,2,FALSE),"")</f>
        <v/>
      </c>
      <c r="D82" s="3"/>
      <c r="E82" s="6" t="str">
        <f>IFERROR(VLOOKUP(D82,メニュー!$D$3:$E$4,2,FALSE),"")</f>
        <v/>
      </c>
      <c r="F82" s="3"/>
      <c r="G82" s="6"/>
      <c r="H82" s="3"/>
      <c r="I82" s="6" t="str">
        <f>IFERROR(IF(F82&lt;&gt;"通信機器購入なし",VLOOKUP(F82&amp;H82,メニュー!$H$30:$I$39,2,0),VLOOKUP(D82&amp;F82&amp;H82,メニュー!$H$25:$I$26,2,0)),"")</f>
        <v/>
      </c>
      <c r="J82" s="7"/>
      <c r="K82" s="7"/>
      <c r="L82" s="7"/>
      <c r="M82" s="7"/>
    </row>
    <row r="83" spans="1:13" x14ac:dyDescent="0.2">
      <c r="A83" s="6" t="str">
        <f t="shared" si="1"/>
        <v/>
      </c>
      <c r="B83" s="3"/>
      <c r="C83" s="6" t="str">
        <f>IFERROR(VLOOKUP(B83,メニュー!$B$3:$C$12,2,FALSE),"")</f>
        <v/>
      </c>
      <c r="D83" s="3"/>
      <c r="E83" s="6" t="str">
        <f>IFERROR(VLOOKUP(D83,メニュー!$D$3:$E$4,2,FALSE),"")</f>
        <v/>
      </c>
      <c r="F83" s="3"/>
      <c r="G83" s="6"/>
      <c r="H83" s="3"/>
      <c r="I83" s="6" t="str">
        <f>IFERROR(IF(F83&lt;&gt;"通信機器購入なし",VLOOKUP(F83&amp;H83,メニュー!$H$30:$I$39,2,0),VLOOKUP(D83&amp;F83&amp;H83,メニュー!$H$25:$I$26,2,0)),"")</f>
        <v/>
      </c>
      <c r="J83" s="7"/>
      <c r="K83" s="7"/>
      <c r="L83" s="7"/>
      <c r="M83" s="7"/>
    </row>
    <row r="84" spans="1:13" x14ac:dyDescent="0.2">
      <c r="A84" s="6" t="str">
        <f t="shared" si="1"/>
        <v/>
      </c>
      <c r="B84" s="3"/>
      <c r="C84" s="6" t="str">
        <f>IFERROR(VLOOKUP(B84,メニュー!$B$3:$C$12,2,FALSE),"")</f>
        <v/>
      </c>
      <c r="D84" s="3"/>
      <c r="E84" s="6" t="str">
        <f>IFERROR(VLOOKUP(D84,メニュー!$D$3:$E$4,2,FALSE),"")</f>
        <v/>
      </c>
      <c r="F84" s="3"/>
      <c r="G84" s="6"/>
      <c r="H84" s="3"/>
      <c r="I84" s="6" t="str">
        <f>IFERROR(IF(F84&lt;&gt;"通信機器購入なし",VLOOKUP(F84&amp;H84,メニュー!$H$30:$I$39,2,0),VLOOKUP(D84&amp;F84&amp;H84,メニュー!$H$25:$I$26,2,0)),"")</f>
        <v/>
      </c>
      <c r="J84" s="7"/>
      <c r="K84" s="7"/>
      <c r="L84" s="7"/>
      <c r="M84" s="7"/>
    </row>
    <row r="85" spans="1:13" x14ac:dyDescent="0.2">
      <c r="A85" s="6" t="str">
        <f t="shared" si="1"/>
        <v/>
      </c>
      <c r="B85" s="3"/>
      <c r="C85" s="6" t="str">
        <f>IFERROR(VLOOKUP(B85,メニュー!$B$3:$C$12,2,FALSE),"")</f>
        <v/>
      </c>
      <c r="D85" s="3"/>
      <c r="E85" s="6" t="str">
        <f>IFERROR(VLOOKUP(D85,メニュー!$D$3:$E$4,2,FALSE),"")</f>
        <v/>
      </c>
      <c r="F85" s="3"/>
      <c r="G85" s="6"/>
      <c r="H85" s="3"/>
      <c r="I85" s="6" t="str">
        <f>IFERROR(IF(F85&lt;&gt;"通信機器購入なし",VLOOKUP(F85&amp;H85,メニュー!$H$30:$I$39,2,0),VLOOKUP(D85&amp;F85&amp;H85,メニュー!$H$25:$I$26,2,0)),"")</f>
        <v/>
      </c>
      <c r="J85" s="7"/>
      <c r="K85" s="7"/>
      <c r="L85" s="7"/>
      <c r="M85" s="7"/>
    </row>
    <row r="86" spans="1:13" x14ac:dyDescent="0.2">
      <c r="A86" s="6" t="str">
        <f t="shared" si="1"/>
        <v/>
      </c>
      <c r="B86" s="3"/>
      <c r="C86" s="6" t="str">
        <f>IFERROR(VLOOKUP(B86,メニュー!$B$3:$C$12,2,FALSE),"")</f>
        <v/>
      </c>
      <c r="D86" s="3"/>
      <c r="E86" s="6" t="str">
        <f>IFERROR(VLOOKUP(D86,メニュー!$D$3:$E$4,2,FALSE),"")</f>
        <v/>
      </c>
      <c r="F86" s="3"/>
      <c r="G86" s="6"/>
      <c r="H86" s="3"/>
      <c r="I86" s="6" t="str">
        <f>IFERROR(IF(F86&lt;&gt;"通信機器購入なし",VLOOKUP(F86&amp;H86,メニュー!$H$30:$I$39,2,0),VLOOKUP(D86&amp;F86&amp;H86,メニュー!$H$25:$I$26,2,0)),"")</f>
        <v/>
      </c>
      <c r="J86" s="7"/>
      <c r="K86" s="7"/>
      <c r="L86" s="7"/>
      <c r="M86" s="7"/>
    </row>
    <row r="87" spans="1:13" x14ac:dyDescent="0.2">
      <c r="A87" s="6" t="str">
        <f t="shared" si="1"/>
        <v/>
      </c>
      <c r="B87" s="3"/>
      <c r="C87" s="6" t="str">
        <f>IFERROR(VLOOKUP(B87,メニュー!$B$3:$C$12,2,FALSE),"")</f>
        <v/>
      </c>
      <c r="D87" s="3"/>
      <c r="E87" s="6" t="str">
        <f>IFERROR(VLOOKUP(D87,メニュー!$D$3:$E$4,2,FALSE),"")</f>
        <v/>
      </c>
      <c r="F87" s="3"/>
      <c r="G87" s="6"/>
      <c r="H87" s="3"/>
      <c r="I87" s="6" t="str">
        <f>IFERROR(IF(F87&lt;&gt;"通信機器購入なし",VLOOKUP(F87&amp;H87,メニュー!$H$30:$I$39,2,0),VLOOKUP(D87&amp;F87&amp;H87,メニュー!$H$25:$I$26,2,0)),"")</f>
        <v/>
      </c>
      <c r="J87" s="7"/>
      <c r="K87" s="7"/>
      <c r="L87" s="7"/>
      <c r="M87" s="7"/>
    </row>
    <row r="88" spans="1:13" x14ac:dyDescent="0.2">
      <c r="A88" s="6" t="str">
        <f t="shared" si="1"/>
        <v/>
      </c>
      <c r="B88" s="3"/>
      <c r="C88" s="6" t="str">
        <f>IFERROR(VLOOKUP(B88,メニュー!$B$3:$C$12,2,FALSE),"")</f>
        <v/>
      </c>
      <c r="D88" s="3"/>
      <c r="E88" s="6" t="str">
        <f>IFERROR(VLOOKUP(D88,メニュー!$D$3:$E$4,2,FALSE),"")</f>
        <v/>
      </c>
      <c r="F88" s="3"/>
      <c r="G88" s="6"/>
      <c r="H88" s="3"/>
      <c r="I88" s="6" t="str">
        <f>IFERROR(IF(F88&lt;&gt;"通信機器購入なし",VLOOKUP(F88&amp;H88,メニュー!$H$30:$I$39,2,0),VLOOKUP(D88&amp;F88&amp;H88,メニュー!$H$25:$I$26,2,0)),"")</f>
        <v/>
      </c>
      <c r="J88" s="7"/>
      <c r="K88" s="7"/>
      <c r="L88" s="7"/>
      <c r="M88" s="7"/>
    </row>
    <row r="89" spans="1:13" x14ac:dyDescent="0.2">
      <c r="A89" s="6" t="str">
        <f t="shared" si="1"/>
        <v/>
      </c>
      <c r="B89" s="3"/>
      <c r="C89" s="6" t="str">
        <f>IFERROR(VLOOKUP(B89,メニュー!$B$3:$C$12,2,FALSE),"")</f>
        <v/>
      </c>
      <c r="D89" s="3"/>
      <c r="E89" s="6" t="str">
        <f>IFERROR(VLOOKUP(D89,メニュー!$D$3:$E$4,2,FALSE),"")</f>
        <v/>
      </c>
      <c r="F89" s="3"/>
      <c r="G89" s="6"/>
      <c r="H89" s="3"/>
      <c r="I89" s="6" t="str">
        <f>IFERROR(IF(F89&lt;&gt;"通信機器購入なし",VLOOKUP(F89&amp;H89,メニュー!$H$30:$I$39,2,0),VLOOKUP(D89&amp;F89&amp;H89,メニュー!$H$25:$I$26,2,0)),"")</f>
        <v/>
      </c>
      <c r="J89" s="7"/>
      <c r="K89" s="7"/>
      <c r="L89" s="7"/>
      <c r="M89" s="7"/>
    </row>
    <row r="90" spans="1:13" x14ac:dyDescent="0.2">
      <c r="A90" s="6" t="str">
        <f t="shared" si="1"/>
        <v/>
      </c>
      <c r="B90" s="3"/>
      <c r="C90" s="6" t="str">
        <f>IFERROR(VLOOKUP(B90,メニュー!$B$3:$C$12,2,FALSE),"")</f>
        <v/>
      </c>
      <c r="D90" s="3"/>
      <c r="E90" s="6" t="str">
        <f>IFERROR(VLOOKUP(D90,メニュー!$D$3:$E$4,2,FALSE),"")</f>
        <v/>
      </c>
      <c r="F90" s="3"/>
      <c r="G90" s="6"/>
      <c r="H90" s="3"/>
      <c r="I90" s="6" t="str">
        <f>IFERROR(IF(F90&lt;&gt;"通信機器購入なし",VLOOKUP(F90&amp;H90,メニュー!$H$30:$I$39,2,0),VLOOKUP(D90&amp;F90&amp;H90,メニュー!$H$25:$I$26,2,0)),"")</f>
        <v/>
      </c>
      <c r="J90" s="7"/>
      <c r="K90" s="7"/>
      <c r="L90" s="7"/>
      <c r="M90" s="7"/>
    </row>
    <row r="91" spans="1:13" x14ac:dyDescent="0.2">
      <c r="A91" s="6" t="str">
        <f t="shared" si="1"/>
        <v/>
      </c>
      <c r="B91" s="3"/>
      <c r="C91" s="6" t="str">
        <f>IFERROR(VLOOKUP(B91,メニュー!$B$3:$C$12,2,FALSE),"")</f>
        <v/>
      </c>
      <c r="D91" s="3"/>
      <c r="E91" s="6" t="str">
        <f>IFERROR(VLOOKUP(D91,メニュー!$D$3:$E$4,2,FALSE),"")</f>
        <v/>
      </c>
      <c r="F91" s="3"/>
      <c r="G91" s="6"/>
      <c r="H91" s="3"/>
      <c r="I91" s="6" t="str">
        <f>IFERROR(IF(F91&lt;&gt;"通信機器購入なし",VLOOKUP(F91&amp;H91,メニュー!$H$30:$I$39,2,0),VLOOKUP(D91&amp;F91&amp;H91,メニュー!$H$25:$I$26,2,0)),"")</f>
        <v/>
      </c>
      <c r="J91" s="7"/>
      <c r="K91" s="7"/>
      <c r="L91" s="7"/>
      <c r="M91" s="7"/>
    </row>
    <row r="92" spans="1:13" x14ac:dyDescent="0.2">
      <c r="A92" s="6" t="str">
        <f t="shared" si="1"/>
        <v/>
      </c>
      <c r="B92" s="3"/>
      <c r="C92" s="6" t="str">
        <f>IFERROR(VLOOKUP(B92,メニュー!$B$3:$C$12,2,FALSE),"")</f>
        <v/>
      </c>
      <c r="D92" s="3"/>
      <c r="E92" s="6" t="str">
        <f>IFERROR(VLOOKUP(D92,メニュー!$D$3:$E$4,2,FALSE),"")</f>
        <v/>
      </c>
      <c r="F92" s="3"/>
      <c r="G92" s="6"/>
      <c r="H92" s="3"/>
      <c r="I92" s="6" t="str">
        <f>IFERROR(IF(F92&lt;&gt;"通信機器購入なし",VLOOKUP(F92&amp;H92,メニュー!$H$30:$I$39,2,0),VLOOKUP(D92&amp;F92&amp;H92,メニュー!$H$25:$I$26,2,0)),"")</f>
        <v/>
      </c>
      <c r="J92" s="7"/>
      <c r="K92" s="7"/>
      <c r="L92" s="7"/>
      <c r="M92" s="7"/>
    </row>
    <row r="93" spans="1:13" x14ac:dyDescent="0.2">
      <c r="A93" s="6" t="str">
        <f t="shared" si="1"/>
        <v/>
      </c>
      <c r="B93" s="3"/>
      <c r="C93" s="6" t="str">
        <f>IFERROR(VLOOKUP(B93,メニュー!$B$3:$C$12,2,FALSE),"")</f>
        <v/>
      </c>
      <c r="D93" s="3"/>
      <c r="E93" s="6" t="str">
        <f>IFERROR(VLOOKUP(D93,メニュー!$D$3:$E$4,2,FALSE),"")</f>
        <v/>
      </c>
      <c r="F93" s="3"/>
      <c r="G93" s="6"/>
      <c r="H93" s="3"/>
      <c r="I93" s="6" t="str">
        <f>IFERROR(IF(F93&lt;&gt;"通信機器購入なし",VLOOKUP(F93&amp;H93,メニュー!$H$30:$I$39,2,0),VLOOKUP(D93&amp;F93&amp;H93,メニュー!$H$25:$I$26,2,0)),"")</f>
        <v/>
      </c>
      <c r="J93" s="7"/>
      <c r="K93" s="7"/>
      <c r="L93" s="7"/>
      <c r="M93" s="7"/>
    </row>
    <row r="94" spans="1:13" x14ac:dyDescent="0.2">
      <c r="A94" s="6" t="str">
        <f t="shared" si="1"/>
        <v/>
      </c>
      <c r="B94" s="3"/>
      <c r="C94" s="6" t="str">
        <f>IFERROR(VLOOKUP(B94,メニュー!$B$3:$C$12,2,FALSE),"")</f>
        <v/>
      </c>
      <c r="D94" s="3"/>
      <c r="E94" s="6" t="str">
        <f>IFERROR(VLOOKUP(D94,メニュー!$D$3:$E$4,2,FALSE),"")</f>
        <v/>
      </c>
      <c r="F94" s="3"/>
      <c r="G94" s="6"/>
      <c r="H94" s="3"/>
      <c r="I94" s="6" t="str">
        <f>IFERROR(IF(F94&lt;&gt;"通信機器購入なし",VLOOKUP(F94&amp;H94,メニュー!$H$30:$I$39,2,0),VLOOKUP(D94&amp;F94&amp;H94,メニュー!$H$25:$I$26,2,0)),"")</f>
        <v/>
      </c>
      <c r="J94" s="7"/>
      <c r="K94" s="7"/>
      <c r="L94" s="7"/>
      <c r="M94" s="7"/>
    </row>
    <row r="95" spans="1:13" x14ac:dyDescent="0.2">
      <c r="A95" s="6" t="str">
        <f t="shared" si="1"/>
        <v/>
      </c>
      <c r="B95" s="3"/>
      <c r="C95" s="6" t="str">
        <f>IFERROR(VLOOKUP(B95,メニュー!$B$3:$C$12,2,FALSE),"")</f>
        <v/>
      </c>
      <c r="D95" s="3"/>
      <c r="E95" s="6" t="str">
        <f>IFERROR(VLOOKUP(D95,メニュー!$D$3:$E$4,2,FALSE),"")</f>
        <v/>
      </c>
      <c r="F95" s="3"/>
      <c r="G95" s="6"/>
      <c r="H95" s="3"/>
      <c r="I95" s="6" t="str">
        <f>IFERROR(IF(F95&lt;&gt;"通信機器購入なし",VLOOKUP(F95&amp;H95,メニュー!$H$30:$I$39,2,0),VLOOKUP(D95&amp;F95&amp;H95,メニュー!$H$25:$I$26,2,0)),"")</f>
        <v/>
      </c>
      <c r="J95" s="7"/>
      <c r="K95" s="7"/>
      <c r="L95" s="7"/>
      <c r="M95" s="7"/>
    </row>
    <row r="96" spans="1:13" x14ac:dyDescent="0.2">
      <c r="A96" s="6" t="str">
        <f t="shared" si="1"/>
        <v/>
      </c>
      <c r="B96" s="3"/>
      <c r="C96" s="6" t="str">
        <f>IFERROR(VLOOKUP(B96,メニュー!$B$3:$C$12,2,FALSE),"")</f>
        <v/>
      </c>
      <c r="D96" s="3"/>
      <c r="E96" s="6" t="str">
        <f>IFERROR(VLOOKUP(D96,メニュー!$D$3:$E$4,2,FALSE),"")</f>
        <v/>
      </c>
      <c r="F96" s="3"/>
      <c r="G96" s="6"/>
      <c r="H96" s="3"/>
      <c r="I96" s="6" t="str">
        <f>IFERROR(IF(F96&lt;&gt;"通信機器購入なし",VLOOKUP(F96&amp;H96,メニュー!$H$30:$I$39,2,0),VLOOKUP(D96&amp;F96&amp;H96,メニュー!$H$25:$I$26,2,0)),"")</f>
        <v/>
      </c>
      <c r="J96" s="7"/>
      <c r="K96" s="7"/>
      <c r="L96" s="7"/>
      <c r="M96" s="7"/>
    </row>
    <row r="97" spans="1:13" x14ac:dyDescent="0.2">
      <c r="A97" s="6" t="str">
        <f t="shared" si="1"/>
        <v/>
      </c>
      <c r="B97" s="3"/>
      <c r="C97" s="6" t="str">
        <f>IFERROR(VLOOKUP(B97,メニュー!$B$3:$C$12,2,FALSE),"")</f>
        <v/>
      </c>
      <c r="D97" s="3"/>
      <c r="E97" s="6" t="str">
        <f>IFERROR(VLOOKUP(D97,メニュー!$D$3:$E$4,2,FALSE),"")</f>
        <v/>
      </c>
      <c r="F97" s="3"/>
      <c r="G97" s="6"/>
      <c r="H97" s="3"/>
      <c r="I97" s="6" t="str">
        <f>IFERROR(IF(F97&lt;&gt;"通信機器購入なし",VLOOKUP(F97&amp;H97,メニュー!$H$30:$I$39,2,0),VLOOKUP(D97&amp;F97&amp;H97,メニュー!$H$25:$I$26,2,0)),"")</f>
        <v/>
      </c>
      <c r="J97" s="7"/>
      <c r="K97" s="7"/>
      <c r="L97" s="7"/>
      <c r="M97" s="7"/>
    </row>
    <row r="98" spans="1:13" x14ac:dyDescent="0.2">
      <c r="A98" s="6" t="str">
        <f t="shared" si="1"/>
        <v/>
      </c>
      <c r="B98" s="3"/>
      <c r="C98" s="6" t="str">
        <f>IFERROR(VLOOKUP(B98,メニュー!$B$3:$C$12,2,FALSE),"")</f>
        <v/>
      </c>
      <c r="D98" s="3"/>
      <c r="E98" s="6" t="str">
        <f>IFERROR(VLOOKUP(D98,メニュー!$D$3:$E$4,2,FALSE),"")</f>
        <v/>
      </c>
      <c r="F98" s="3"/>
      <c r="G98" s="6"/>
      <c r="H98" s="3"/>
      <c r="I98" s="6" t="str">
        <f>IFERROR(IF(F98&lt;&gt;"通信機器購入なし",VLOOKUP(F98&amp;H98,メニュー!$H$30:$I$39,2,0),VLOOKUP(D98&amp;F98&amp;H98,メニュー!$H$25:$I$26,2,0)),"")</f>
        <v/>
      </c>
      <c r="J98" s="7"/>
      <c r="K98" s="7"/>
      <c r="L98" s="7"/>
      <c r="M98" s="7"/>
    </row>
    <row r="99" spans="1:13" x14ac:dyDescent="0.2">
      <c r="A99" s="6" t="str">
        <f t="shared" si="1"/>
        <v/>
      </c>
      <c r="B99" s="3"/>
      <c r="C99" s="6" t="str">
        <f>IFERROR(VLOOKUP(B99,メニュー!$B$3:$C$12,2,FALSE),"")</f>
        <v/>
      </c>
      <c r="D99" s="3"/>
      <c r="E99" s="6" t="str">
        <f>IFERROR(VLOOKUP(D99,メニュー!$D$3:$E$4,2,FALSE),"")</f>
        <v/>
      </c>
      <c r="F99" s="3"/>
      <c r="G99" s="6"/>
      <c r="H99" s="3"/>
      <c r="I99" s="6" t="str">
        <f>IFERROR(IF(F99&lt;&gt;"通信機器購入なし",VLOOKUP(F99&amp;H99,メニュー!$H$30:$I$39,2,0),VLOOKUP(D99&amp;F99&amp;H99,メニュー!$H$25:$I$26,2,0)),"")</f>
        <v/>
      </c>
      <c r="J99" s="7"/>
      <c r="K99" s="7"/>
      <c r="L99" s="7"/>
      <c r="M99" s="7"/>
    </row>
    <row r="100" spans="1:13" x14ac:dyDescent="0.2">
      <c r="A100" s="6" t="str">
        <f t="shared" si="1"/>
        <v/>
      </c>
      <c r="B100" s="3"/>
      <c r="C100" s="6" t="str">
        <f>IFERROR(VLOOKUP(B100,メニュー!$B$3:$C$12,2,FALSE),"")</f>
        <v/>
      </c>
      <c r="D100" s="3"/>
      <c r="E100" s="6" t="str">
        <f>IFERROR(VLOOKUP(D100,メニュー!$D$3:$E$4,2,FALSE),"")</f>
        <v/>
      </c>
      <c r="F100" s="3"/>
      <c r="G100" s="6"/>
      <c r="H100" s="3"/>
      <c r="I100" s="6" t="str">
        <f>IFERROR(IF(F100&lt;&gt;"通信機器購入なし",VLOOKUP(F100&amp;H100,メニュー!$H$30:$I$39,2,0),VLOOKUP(D100&amp;F100&amp;H100,メニュー!$H$25:$I$26,2,0)),"")</f>
        <v/>
      </c>
      <c r="J100" s="7"/>
      <c r="K100" s="7"/>
      <c r="L100" s="7"/>
      <c r="M100" s="7"/>
    </row>
    <row r="101" spans="1:13" x14ac:dyDescent="0.2">
      <c r="A101" s="6" t="str">
        <f t="shared" si="1"/>
        <v/>
      </c>
      <c r="B101" s="3"/>
      <c r="C101" s="6" t="str">
        <f>IFERROR(VLOOKUP(B101,メニュー!$B$3:$C$12,2,FALSE),"")</f>
        <v/>
      </c>
      <c r="D101" s="3"/>
      <c r="E101" s="6" t="str">
        <f>IFERROR(VLOOKUP(D101,メニュー!$D$3:$E$4,2,FALSE),"")</f>
        <v/>
      </c>
      <c r="F101" s="3"/>
      <c r="G101" s="6"/>
      <c r="H101" s="3"/>
      <c r="I101" s="6" t="str">
        <f>IFERROR(IF(F101&lt;&gt;"通信機器購入なし",VLOOKUP(F101&amp;H101,メニュー!$H$30:$I$39,2,0),VLOOKUP(D101&amp;F101&amp;H101,メニュー!$H$25:$I$26,2,0)),"")</f>
        <v/>
      </c>
      <c r="J101" s="7"/>
      <c r="K101" s="7"/>
      <c r="L101" s="7"/>
      <c r="M101" s="7"/>
    </row>
    <row r="102" spans="1:13" x14ac:dyDescent="0.2">
      <c r="A102" s="6" t="str">
        <f t="shared" si="1"/>
        <v/>
      </c>
      <c r="B102" s="3"/>
      <c r="C102" s="6" t="str">
        <f>IFERROR(VLOOKUP(B102,メニュー!$B$3:$C$12,2,FALSE),"")</f>
        <v/>
      </c>
      <c r="D102" s="3"/>
      <c r="E102" s="6" t="str">
        <f>IFERROR(VLOOKUP(D102,メニュー!$D$3:$E$4,2,FALSE),"")</f>
        <v/>
      </c>
      <c r="F102" s="3"/>
      <c r="G102" s="6"/>
      <c r="H102" s="3"/>
      <c r="I102" s="6" t="str">
        <f>IFERROR(IF(F102&lt;&gt;"通信機器購入なし",VLOOKUP(F102&amp;H102,メニュー!$H$30:$I$39,2,0),VLOOKUP(D102&amp;F102&amp;H102,メニュー!$H$25:$I$26,2,0)),"")</f>
        <v/>
      </c>
      <c r="J102" s="7"/>
      <c r="K102" s="7"/>
      <c r="L102" s="7"/>
      <c r="M102" s="7"/>
    </row>
    <row r="103" spans="1:13" x14ac:dyDescent="0.2">
      <c r="A103" s="6" t="str">
        <f t="shared" si="1"/>
        <v/>
      </c>
      <c r="B103" s="3"/>
      <c r="C103" s="6" t="str">
        <f>IFERROR(VLOOKUP(B103,メニュー!$B$3:$C$12,2,FALSE),"")</f>
        <v/>
      </c>
      <c r="D103" s="3"/>
      <c r="E103" s="6" t="str">
        <f>IFERROR(VLOOKUP(D103,メニュー!$D$3:$E$4,2,FALSE),"")</f>
        <v/>
      </c>
      <c r="F103" s="3"/>
      <c r="G103" s="6"/>
      <c r="H103" s="3"/>
      <c r="I103" s="6" t="str">
        <f>IFERROR(IF(F103&lt;&gt;"通信機器購入なし",VLOOKUP(F103&amp;H103,メニュー!$H$30:$I$39,2,0),VLOOKUP(D103&amp;F103&amp;H103,メニュー!$H$25:$I$26,2,0)),"")</f>
        <v/>
      </c>
      <c r="J103" s="7"/>
      <c r="K103" s="7"/>
      <c r="L103" s="7"/>
      <c r="M103" s="7"/>
    </row>
    <row r="104" spans="1:13" x14ac:dyDescent="0.2">
      <c r="A104" s="6" t="str">
        <f t="shared" si="1"/>
        <v/>
      </c>
      <c r="B104" s="3"/>
      <c r="C104" s="6" t="str">
        <f>IFERROR(VLOOKUP(B104,メニュー!$B$3:$C$12,2,FALSE),"")</f>
        <v/>
      </c>
      <c r="D104" s="3"/>
      <c r="E104" s="6" t="str">
        <f>IFERROR(VLOOKUP(D104,メニュー!$D$3:$E$4,2,FALSE),"")</f>
        <v/>
      </c>
      <c r="F104" s="3"/>
      <c r="G104" s="6"/>
      <c r="H104" s="3"/>
      <c r="I104" s="6" t="str">
        <f>IFERROR(IF(F104&lt;&gt;"通信機器購入なし",VLOOKUP(F104&amp;H104,メニュー!$H$30:$I$39,2,0),VLOOKUP(D104&amp;F104&amp;H104,メニュー!$H$25:$I$26,2,0)),"")</f>
        <v/>
      </c>
      <c r="J104" s="7"/>
      <c r="K104" s="7"/>
      <c r="L104" s="7"/>
      <c r="M104" s="7"/>
    </row>
    <row r="105" spans="1:13" x14ac:dyDescent="0.2">
      <c r="A105" s="6" t="str">
        <f t="shared" si="1"/>
        <v/>
      </c>
      <c r="B105" s="3"/>
      <c r="C105" s="6" t="str">
        <f>IFERROR(VLOOKUP(B105,メニュー!$B$3:$C$12,2,FALSE),"")</f>
        <v/>
      </c>
      <c r="D105" s="3"/>
      <c r="E105" s="6" t="str">
        <f>IFERROR(VLOOKUP(D105,メニュー!$D$3:$E$4,2,FALSE),"")</f>
        <v/>
      </c>
      <c r="F105" s="3"/>
      <c r="G105" s="6"/>
      <c r="H105" s="3"/>
      <c r="I105" s="6" t="str">
        <f>IFERROR(IF(F105&lt;&gt;"通信機器購入なし",VLOOKUP(F105&amp;H105,メニュー!$H$30:$I$39,2,0),VLOOKUP(D105&amp;F105&amp;H105,メニュー!$H$25:$I$26,2,0)),"")</f>
        <v/>
      </c>
      <c r="J105" s="7"/>
      <c r="K105" s="7"/>
      <c r="L105" s="7"/>
      <c r="M105" s="7"/>
    </row>
    <row r="106" spans="1:13" x14ac:dyDescent="0.2">
      <c r="A106" s="6" t="str">
        <f t="shared" si="1"/>
        <v/>
      </c>
      <c r="B106" s="3"/>
      <c r="C106" s="6" t="str">
        <f>IFERROR(VLOOKUP(B106,メニュー!$B$3:$C$12,2,FALSE),"")</f>
        <v/>
      </c>
      <c r="D106" s="3"/>
      <c r="E106" s="6" t="str">
        <f>IFERROR(VLOOKUP(D106,メニュー!$D$3:$E$4,2,FALSE),"")</f>
        <v/>
      </c>
      <c r="F106" s="3"/>
      <c r="G106" s="6"/>
      <c r="H106" s="3"/>
      <c r="I106" s="6" t="str">
        <f>IFERROR(IF(F106&lt;&gt;"通信機器購入なし",VLOOKUP(F106&amp;H106,メニュー!$H$30:$I$39,2,0),VLOOKUP(D106&amp;F106&amp;H106,メニュー!$H$25:$I$26,2,0)),"")</f>
        <v/>
      </c>
      <c r="J106" s="7"/>
      <c r="K106" s="7"/>
      <c r="L106" s="7"/>
      <c r="M106" s="7"/>
    </row>
    <row r="107" spans="1:13" x14ac:dyDescent="0.2">
      <c r="A107" s="6" t="str">
        <f t="shared" si="1"/>
        <v/>
      </c>
      <c r="B107" s="3"/>
      <c r="C107" s="6" t="str">
        <f>IFERROR(VLOOKUP(B107,メニュー!$B$3:$C$12,2,FALSE),"")</f>
        <v/>
      </c>
      <c r="D107" s="3"/>
      <c r="E107" s="6" t="str">
        <f>IFERROR(VLOOKUP(D107,メニュー!$D$3:$E$4,2,FALSE),"")</f>
        <v/>
      </c>
      <c r="F107" s="3"/>
      <c r="G107" s="6"/>
      <c r="H107" s="3"/>
      <c r="I107" s="6" t="str">
        <f>IFERROR(IF(F107&lt;&gt;"通信機器購入なし",VLOOKUP(F107&amp;H107,メニュー!$H$30:$I$39,2,0),VLOOKUP(D107&amp;F107&amp;H107,メニュー!$H$25:$I$26,2,0)),"")</f>
        <v/>
      </c>
      <c r="J107" s="7"/>
      <c r="K107" s="7"/>
      <c r="L107" s="7"/>
      <c r="M107" s="7"/>
    </row>
    <row r="108" spans="1:13" x14ac:dyDescent="0.2">
      <c r="A108" s="6" t="str">
        <f t="shared" si="1"/>
        <v/>
      </c>
      <c r="B108" s="3"/>
      <c r="C108" s="6" t="str">
        <f>IFERROR(VLOOKUP(B108,メニュー!$B$3:$C$12,2,FALSE),"")</f>
        <v/>
      </c>
      <c r="D108" s="3"/>
      <c r="E108" s="6" t="str">
        <f>IFERROR(VLOOKUP(D108,メニュー!$D$3:$E$4,2,FALSE),"")</f>
        <v/>
      </c>
      <c r="F108" s="3"/>
      <c r="G108" s="6"/>
      <c r="H108" s="3"/>
      <c r="I108" s="6" t="str">
        <f>IFERROR(IF(F108&lt;&gt;"通信機器購入なし",VLOOKUP(F108&amp;H108,メニュー!$H$30:$I$39,2,0),VLOOKUP(D108&amp;F108&amp;H108,メニュー!$H$25:$I$26,2,0)),"")</f>
        <v/>
      </c>
      <c r="J108" s="7"/>
      <c r="K108" s="7"/>
      <c r="L108" s="7"/>
      <c r="M108" s="7"/>
    </row>
    <row r="109" spans="1:13" x14ac:dyDescent="0.2">
      <c r="A109" s="6" t="str">
        <f t="shared" si="1"/>
        <v/>
      </c>
      <c r="B109" s="3"/>
      <c r="C109" s="6" t="str">
        <f>IFERROR(VLOOKUP(B109,メニュー!$B$3:$C$12,2,FALSE),"")</f>
        <v/>
      </c>
      <c r="D109" s="3"/>
      <c r="E109" s="6" t="str">
        <f>IFERROR(VLOOKUP(D109,メニュー!$D$3:$E$4,2,FALSE),"")</f>
        <v/>
      </c>
      <c r="F109" s="3"/>
      <c r="G109" s="6"/>
      <c r="H109" s="3"/>
      <c r="I109" s="6" t="str">
        <f>IFERROR(IF(F109&lt;&gt;"通信機器購入なし",VLOOKUP(F109&amp;H109,メニュー!$H$30:$I$39,2,0),VLOOKUP(D109&amp;F109&amp;H109,メニュー!$H$25:$I$26,2,0)),"")</f>
        <v/>
      </c>
      <c r="J109" s="7"/>
      <c r="K109" s="7"/>
      <c r="L109" s="7"/>
      <c r="M109" s="7"/>
    </row>
    <row r="110" spans="1:13" x14ac:dyDescent="0.2">
      <c r="A110" s="6" t="str">
        <f t="shared" si="1"/>
        <v/>
      </c>
      <c r="B110" s="3"/>
      <c r="C110" s="6" t="str">
        <f>IFERROR(VLOOKUP(B110,メニュー!$B$3:$C$12,2,FALSE),"")</f>
        <v/>
      </c>
      <c r="D110" s="3"/>
      <c r="E110" s="6" t="str">
        <f>IFERROR(VLOOKUP(D110,メニュー!$D$3:$E$4,2,FALSE),"")</f>
        <v/>
      </c>
      <c r="F110" s="3"/>
      <c r="G110" s="6"/>
      <c r="H110" s="3"/>
      <c r="I110" s="6" t="str">
        <f>IFERROR(IF(F110&lt;&gt;"通信機器購入なし",VLOOKUP(F110&amp;H110,メニュー!$H$30:$I$39,2,0),VLOOKUP(D110&amp;F110&amp;H110,メニュー!$H$25:$I$26,2,0)),"")</f>
        <v/>
      </c>
      <c r="J110" s="7"/>
      <c r="K110" s="7"/>
      <c r="L110" s="7"/>
      <c r="M110" s="7"/>
    </row>
    <row r="111" spans="1:13" x14ac:dyDescent="0.2">
      <c r="A111" s="6" t="str">
        <f t="shared" si="1"/>
        <v/>
      </c>
      <c r="B111" s="3"/>
      <c r="C111" s="6" t="str">
        <f>IFERROR(VLOOKUP(B111,メニュー!$B$3:$C$12,2,FALSE),"")</f>
        <v/>
      </c>
      <c r="D111" s="3"/>
      <c r="E111" s="6" t="str">
        <f>IFERROR(VLOOKUP(D111,メニュー!$D$3:$E$4,2,FALSE),"")</f>
        <v/>
      </c>
      <c r="F111" s="3"/>
      <c r="G111" s="6"/>
      <c r="H111" s="3"/>
      <c r="I111" s="6" t="str">
        <f>IFERROR(IF(F111&lt;&gt;"通信機器購入なし",VLOOKUP(F111&amp;H111,メニュー!$H$30:$I$39,2,0),VLOOKUP(D111&amp;F111&amp;H111,メニュー!$H$25:$I$26,2,0)),"")</f>
        <v/>
      </c>
      <c r="J111" s="7"/>
      <c r="K111" s="7"/>
      <c r="L111" s="7"/>
      <c r="M111" s="7"/>
    </row>
    <row r="112" spans="1:13" x14ac:dyDescent="0.2">
      <c r="A112" s="6" t="str">
        <f t="shared" si="1"/>
        <v/>
      </c>
      <c r="B112" s="3"/>
      <c r="C112" s="6" t="str">
        <f>IFERROR(VLOOKUP(B112,メニュー!$B$3:$C$12,2,FALSE),"")</f>
        <v/>
      </c>
      <c r="D112" s="3"/>
      <c r="E112" s="6" t="str">
        <f>IFERROR(VLOOKUP(D112,メニュー!$D$3:$E$4,2,FALSE),"")</f>
        <v/>
      </c>
      <c r="F112" s="3"/>
      <c r="G112" s="6"/>
      <c r="H112" s="3"/>
      <c r="I112" s="6" t="str">
        <f>IFERROR(IF(F112&lt;&gt;"通信機器購入なし",VLOOKUP(F112&amp;H112,メニュー!$H$30:$I$39,2,0),VLOOKUP(D112&amp;F112&amp;H112,メニュー!$H$25:$I$26,2,0)),"")</f>
        <v/>
      </c>
      <c r="J112" s="7"/>
      <c r="K112" s="7"/>
      <c r="L112" s="7"/>
      <c r="M112" s="7"/>
    </row>
    <row r="113" spans="1:13" x14ac:dyDescent="0.2">
      <c r="A113" s="6" t="str">
        <f t="shared" si="1"/>
        <v/>
      </c>
      <c r="B113" s="3"/>
      <c r="C113" s="6" t="str">
        <f>IFERROR(VLOOKUP(B113,メニュー!$B$3:$C$12,2,FALSE),"")</f>
        <v/>
      </c>
      <c r="D113" s="3"/>
      <c r="E113" s="6" t="str">
        <f>IFERROR(VLOOKUP(D113,メニュー!$D$3:$E$4,2,FALSE),"")</f>
        <v/>
      </c>
      <c r="F113" s="3"/>
      <c r="G113" s="6"/>
      <c r="H113" s="3"/>
      <c r="I113" s="6" t="str">
        <f>IFERROR(IF(F113&lt;&gt;"通信機器購入なし",VLOOKUP(F113&amp;H113,メニュー!$H$30:$I$39,2,0),VLOOKUP(D113&amp;F113&amp;H113,メニュー!$H$25:$I$26,2,0)),"")</f>
        <v/>
      </c>
      <c r="J113" s="7"/>
      <c r="K113" s="7"/>
      <c r="L113" s="7"/>
      <c r="M113" s="7"/>
    </row>
    <row r="114" spans="1:13" x14ac:dyDescent="0.2">
      <c r="A114" s="6" t="str">
        <f t="shared" si="1"/>
        <v/>
      </c>
      <c r="B114" s="3"/>
      <c r="C114" s="6" t="str">
        <f>IFERROR(VLOOKUP(B114,メニュー!$B$3:$C$12,2,FALSE),"")</f>
        <v/>
      </c>
      <c r="D114" s="3"/>
      <c r="E114" s="6" t="str">
        <f>IFERROR(VLOOKUP(D114,メニュー!$D$3:$E$4,2,FALSE),"")</f>
        <v/>
      </c>
      <c r="F114" s="3"/>
      <c r="G114" s="6"/>
      <c r="H114" s="3"/>
      <c r="I114" s="6" t="str">
        <f>IFERROR(IF(F114&lt;&gt;"通信機器購入なし",VLOOKUP(F114&amp;H114,メニュー!$H$30:$I$39,2,0),VLOOKUP(D114&amp;F114&amp;H114,メニュー!$H$25:$I$26,2,0)),"")</f>
        <v/>
      </c>
      <c r="J114" s="7"/>
      <c r="K114" s="7"/>
      <c r="L114" s="7"/>
      <c r="M114" s="7"/>
    </row>
    <row r="115" spans="1:13" x14ac:dyDescent="0.2">
      <c r="A115" s="6" t="str">
        <f t="shared" si="1"/>
        <v/>
      </c>
      <c r="B115" s="3"/>
      <c r="C115" s="6" t="str">
        <f>IFERROR(VLOOKUP(B115,メニュー!$B$3:$C$12,2,FALSE),"")</f>
        <v/>
      </c>
      <c r="D115" s="3"/>
      <c r="E115" s="6" t="str">
        <f>IFERROR(VLOOKUP(D115,メニュー!$D$3:$E$4,2,FALSE),"")</f>
        <v/>
      </c>
      <c r="F115" s="3"/>
      <c r="G115" s="6"/>
      <c r="H115" s="3"/>
      <c r="I115" s="6" t="str">
        <f>IFERROR(IF(F115&lt;&gt;"通信機器購入なし",VLOOKUP(F115&amp;H115,メニュー!$H$30:$I$39,2,0),VLOOKUP(D115&amp;F115&amp;H115,メニュー!$H$25:$I$26,2,0)),"")</f>
        <v/>
      </c>
      <c r="J115" s="7"/>
      <c r="K115" s="7"/>
      <c r="L115" s="7"/>
      <c r="M115" s="7"/>
    </row>
    <row r="116" spans="1:13" x14ac:dyDescent="0.2">
      <c r="A116" s="6" t="str">
        <f t="shared" si="1"/>
        <v/>
      </c>
      <c r="B116" s="3"/>
      <c r="C116" s="6" t="str">
        <f>IFERROR(VLOOKUP(B116,メニュー!$B$3:$C$12,2,FALSE),"")</f>
        <v/>
      </c>
      <c r="D116" s="3"/>
      <c r="E116" s="6" t="str">
        <f>IFERROR(VLOOKUP(D116,メニュー!$D$3:$E$4,2,FALSE),"")</f>
        <v/>
      </c>
      <c r="F116" s="3"/>
      <c r="G116" s="6"/>
      <c r="H116" s="3"/>
      <c r="I116" s="6" t="str">
        <f>IFERROR(IF(F116&lt;&gt;"通信機器購入なし",VLOOKUP(F116&amp;H116,メニュー!$H$30:$I$39,2,0),VLOOKUP(D116&amp;F116&amp;H116,メニュー!$H$25:$I$26,2,0)),"")</f>
        <v/>
      </c>
      <c r="J116" s="7"/>
      <c r="K116" s="7"/>
      <c r="L116" s="7"/>
      <c r="M116" s="7"/>
    </row>
    <row r="117" spans="1:13" x14ac:dyDescent="0.2">
      <c r="A117" s="6" t="str">
        <f t="shared" si="1"/>
        <v/>
      </c>
      <c r="B117" s="3"/>
      <c r="C117" s="6" t="str">
        <f>IFERROR(VLOOKUP(B117,メニュー!$B$3:$C$12,2,FALSE),"")</f>
        <v/>
      </c>
      <c r="D117" s="3"/>
      <c r="E117" s="6" t="str">
        <f>IFERROR(VLOOKUP(D117,メニュー!$D$3:$E$4,2,FALSE),"")</f>
        <v/>
      </c>
      <c r="F117" s="3"/>
      <c r="G117" s="6"/>
      <c r="H117" s="3"/>
      <c r="I117" s="6" t="str">
        <f>IFERROR(IF(F117&lt;&gt;"通信機器購入なし",VLOOKUP(F117&amp;H117,メニュー!$H$30:$I$39,2,0),VLOOKUP(D117&amp;F117&amp;H117,メニュー!$H$25:$I$26,2,0)),"")</f>
        <v/>
      </c>
      <c r="J117" s="7"/>
      <c r="K117" s="7"/>
      <c r="L117" s="7"/>
      <c r="M117" s="7"/>
    </row>
    <row r="118" spans="1:13" x14ac:dyDescent="0.2">
      <c r="A118" s="6" t="str">
        <f t="shared" si="1"/>
        <v/>
      </c>
      <c r="B118" s="3"/>
      <c r="C118" s="6" t="str">
        <f>IFERROR(VLOOKUP(B118,メニュー!$B$3:$C$12,2,FALSE),"")</f>
        <v/>
      </c>
      <c r="D118" s="3"/>
      <c r="E118" s="6" t="str">
        <f>IFERROR(VLOOKUP(D118,メニュー!$D$3:$E$4,2,FALSE),"")</f>
        <v/>
      </c>
      <c r="F118" s="3"/>
      <c r="G118" s="6"/>
      <c r="H118" s="3"/>
      <c r="I118" s="6" t="str">
        <f>IFERROR(IF(F118&lt;&gt;"通信機器購入なし",VLOOKUP(F118&amp;H118,メニュー!$H$30:$I$39,2,0),VLOOKUP(D118&amp;F118&amp;H118,メニュー!$H$25:$I$26,2,0)),"")</f>
        <v/>
      </c>
      <c r="J118" s="7"/>
      <c r="K118" s="7"/>
      <c r="L118" s="7"/>
      <c r="M118" s="7"/>
    </row>
    <row r="119" spans="1:13" x14ac:dyDescent="0.2">
      <c r="A119" s="6" t="str">
        <f t="shared" si="1"/>
        <v/>
      </c>
      <c r="B119" s="3"/>
      <c r="C119" s="6" t="str">
        <f>IFERROR(VLOOKUP(B119,メニュー!$B$3:$C$12,2,FALSE),"")</f>
        <v/>
      </c>
      <c r="D119" s="3"/>
      <c r="E119" s="6" t="str">
        <f>IFERROR(VLOOKUP(D119,メニュー!$D$3:$E$4,2,FALSE),"")</f>
        <v/>
      </c>
      <c r="F119" s="3"/>
      <c r="G119" s="6"/>
      <c r="H119" s="3"/>
      <c r="I119" s="6" t="str">
        <f>IFERROR(IF(F119&lt;&gt;"通信機器購入なし",VLOOKUP(F119&amp;H119,メニュー!$H$30:$I$39,2,0),VLOOKUP(D119&amp;F119&amp;H119,メニュー!$H$25:$I$26,2,0)),"")</f>
        <v/>
      </c>
      <c r="J119" s="7"/>
      <c r="K119" s="7"/>
      <c r="L119" s="7"/>
      <c r="M119" s="7"/>
    </row>
    <row r="120" spans="1:13" x14ac:dyDescent="0.2">
      <c r="A120" s="6" t="str">
        <f t="shared" si="1"/>
        <v/>
      </c>
      <c r="B120" s="3"/>
      <c r="C120" s="6" t="str">
        <f>IFERROR(VLOOKUP(B120,メニュー!$B$3:$C$12,2,FALSE),"")</f>
        <v/>
      </c>
      <c r="D120" s="3"/>
      <c r="E120" s="6" t="str">
        <f>IFERROR(VLOOKUP(D120,メニュー!$D$3:$E$4,2,FALSE),"")</f>
        <v/>
      </c>
      <c r="F120" s="3"/>
      <c r="G120" s="6"/>
      <c r="H120" s="3"/>
      <c r="I120" s="6" t="str">
        <f>IFERROR(IF(F120&lt;&gt;"通信機器購入なし",VLOOKUP(F120&amp;H120,メニュー!$H$30:$I$39,2,0),VLOOKUP(D120&amp;F120&amp;H120,メニュー!$H$25:$I$26,2,0)),"")</f>
        <v/>
      </c>
      <c r="J120" s="7"/>
      <c r="K120" s="7"/>
      <c r="L120" s="7"/>
      <c r="M120" s="7"/>
    </row>
    <row r="121" spans="1:13" x14ac:dyDescent="0.2">
      <c r="A121" s="6" t="str">
        <f t="shared" si="1"/>
        <v/>
      </c>
      <c r="B121" s="3"/>
      <c r="C121" s="6" t="str">
        <f>IFERROR(VLOOKUP(B121,メニュー!$B$3:$C$12,2,FALSE),"")</f>
        <v/>
      </c>
      <c r="D121" s="3"/>
      <c r="E121" s="6" t="str">
        <f>IFERROR(VLOOKUP(D121,メニュー!$D$3:$E$4,2,FALSE),"")</f>
        <v/>
      </c>
      <c r="F121" s="3"/>
      <c r="G121" s="6"/>
      <c r="H121" s="3"/>
      <c r="I121" s="6" t="str">
        <f>IFERROR(IF(F121&lt;&gt;"通信機器購入なし",VLOOKUP(F121&amp;H121,メニュー!$H$30:$I$39,2,0),VLOOKUP(D121&amp;F121&amp;H121,メニュー!$H$25:$I$26,2,0)),"")</f>
        <v/>
      </c>
      <c r="J121" s="7"/>
      <c r="K121" s="7"/>
      <c r="L121" s="7"/>
      <c r="M121" s="7"/>
    </row>
    <row r="122" spans="1:13" x14ac:dyDescent="0.2">
      <c r="A122" s="6" t="str">
        <f t="shared" si="1"/>
        <v/>
      </c>
      <c r="B122" s="3"/>
      <c r="C122" s="6" t="str">
        <f>IFERROR(VLOOKUP(B122,メニュー!$B$3:$C$12,2,FALSE),"")</f>
        <v/>
      </c>
      <c r="D122" s="3"/>
      <c r="E122" s="6" t="str">
        <f>IFERROR(VLOOKUP(D122,メニュー!$D$3:$E$4,2,FALSE),"")</f>
        <v/>
      </c>
      <c r="F122" s="3"/>
      <c r="G122" s="6"/>
      <c r="H122" s="3"/>
      <c r="I122" s="6" t="str">
        <f>IFERROR(IF(F122&lt;&gt;"通信機器購入なし",VLOOKUP(F122&amp;H122,メニュー!$H$30:$I$39,2,0),VLOOKUP(D122&amp;F122&amp;H122,メニュー!$H$25:$I$26,2,0)),"")</f>
        <v/>
      </c>
      <c r="J122" s="7"/>
      <c r="K122" s="7"/>
      <c r="L122" s="7"/>
      <c r="M122" s="7"/>
    </row>
    <row r="123" spans="1:13" x14ac:dyDescent="0.2">
      <c r="A123" s="6" t="str">
        <f t="shared" si="1"/>
        <v/>
      </c>
      <c r="B123" s="3"/>
      <c r="C123" s="6" t="str">
        <f>IFERROR(VLOOKUP(B123,メニュー!$B$3:$C$12,2,FALSE),"")</f>
        <v/>
      </c>
      <c r="D123" s="3"/>
      <c r="E123" s="6" t="str">
        <f>IFERROR(VLOOKUP(D123,メニュー!$D$3:$E$4,2,FALSE),"")</f>
        <v/>
      </c>
      <c r="F123" s="3"/>
      <c r="G123" s="6"/>
      <c r="H123" s="3"/>
      <c r="I123" s="6" t="str">
        <f>IFERROR(IF(F123&lt;&gt;"通信機器購入なし",VLOOKUP(F123&amp;H123,メニュー!$H$30:$I$39,2,0),VLOOKUP(D123&amp;F123&amp;H123,メニュー!$H$25:$I$26,2,0)),"")</f>
        <v/>
      </c>
      <c r="J123" s="7"/>
      <c r="K123" s="7"/>
      <c r="L123" s="7"/>
      <c r="M123" s="7"/>
    </row>
    <row r="124" spans="1:13" x14ac:dyDescent="0.2">
      <c r="A124" s="6" t="str">
        <f t="shared" si="1"/>
        <v/>
      </c>
      <c r="B124" s="3"/>
      <c r="C124" s="6" t="str">
        <f>IFERROR(VLOOKUP(B124,メニュー!$B$3:$C$12,2,FALSE),"")</f>
        <v/>
      </c>
      <c r="D124" s="3"/>
      <c r="E124" s="6" t="str">
        <f>IFERROR(VLOOKUP(D124,メニュー!$D$3:$E$4,2,FALSE),"")</f>
        <v/>
      </c>
      <c r="F124" s="3"/>
      <c r="G124" s="6"/>
      <c r="H124" s="3"/>
      <c r="I124" s="6" t="str">
        <f>IFERROR(IF(F124&lt;&gt;"通信機器購入なし",VLOOKUP(F124&amp;H124,メニュー!$H$30:$I$39,2,0),VLOOKUP(D124&amp;F124&amp;H124,メニュー!$H$25:$I$26,2,0)),"")</f>
        <v/>
      </c>
      <c r="J124" s="7"/>
      <c r="K124" s="7"/>
      <c r="L124" s="7"/>
      <c r="M124" s="7"/>
    </row>
    <row r="125" spans="1:13" x14ac:dyDescent="0.2">
      <c r="A125" s="6" t="str">
        <f t="shared" si="1"/>
        <v/>
      </c>
      <c r="B125" s="3"/>
      <c r="C125" s="6" t="str">
        <f>IFERROR(VLOOKUP(B125,メニュー!$B$3:$C$12,2,FALSE),"")</f>
        <v/>
      </c>
      <c r="D125" s="3"/>
      <c r="E125" s="6" t="str">
        <f>IFERROR(VLOOKUP(D125,メニュー!$D$3:$E$4,2,FALSE),"")</f>
        <v/>
      </c>
      <c r="F125" s="3"/>
      <c r="G125" s="6"/>
      <c r="H125" s="3"/>
      <c r="I125" s="6" t="str">
        <f>IFERROR(IF(F125&lt;&gt;"通信機器購入なし",VLOOKUP(F125&amp;H125,メニュー!$H$30:$I$39,2,0),VLOOKUP(D125&amp;F125&amp;H125,メニュー!$H$25:$I$26,2,0)),"")</f>
        <v/>
      </c>
      <c r="J125" s="7"/>
      <c r="K125" s="7"/>
      <c r="L125" s="7"/>
      <c r="M125" s="7"/>
    </row>
    <row r="126" spans="1:13" x14ac:dyDescent="0.2">
      <c r="A126" s="6" t="str">
        <f t="shared" si="1"/>
        <v/>
      </c>
      <c r="B126" s="3"/>
      <c r="C126" s="6" t="str">
        <f>IFERROR(VLOOKUP(B126,メニュー!$B$3:$C$12,2,FALSE),"")</f>
        <v/>
      </c>
      <c r="D126" s="3"/>
      <c r="E126" s="6" t="str">
        <f>IFERROR(VLOOKUP(D126,メニュー!$D$3:$E$4,2,FALSE),"")</f>
        <v/>
      </c>
      <c r="F126" s="3"/>
      <c r="G126" s="6"/>
      <c r="H126" s="3"/>
      <c r="I126" s="6" t="str">
        <f>IFERROR(IF(F126&lt;&gt;"通信機器購入なし",VLOOKUP(F126&amp;H126,メニュー!$H$30:$I$39,2,0),VLOOKUP(D126&amp;F126&amp;H126,メニュー!$H$25:$I$26,2,0)),"")</f>
        <v/>
      </c>
      <c r="J126" s="7"/>
      <c r="K126" s="7"/>
      <c r="L126" s="7"/>
      <c r="M126" s="7"/>
    </row>
    <row r="127" spans="1:13" x14ac:dyDescent="0.2">
      <c r="A127" s="6" t="str">
        <f t="shared" si="1"/>
        <v/>
      </c>
      <c r="B127" s="3"/>
      <c r="C127" s="6" t="str">
        <f>IFERROR(VLOOKUP(B127,メニュー!$B$3:$C$12,2,FALSE),"")</f>
        <v/>
      </c>
      <c r="D127" s="3"/>
      <c r="E127" s="6" t="str">
        <f>IFERROR(VLOOKUP(D127,メニュー!$D$3:$E$4,2,FALSE),"")</f>
        <v/>
      </c>
      <c r="F127" s="3"/>
      <c r="G127" s="6"/>
      <c r="H127" s="3"/>
      <c r="I127" s="6" t="str">
        <f>IFERROR(IF(F127&lt;&gt;"通信機器購入なし",VLOOKUP(F127&amp;H127,メニュー!$H$30:$I$39,2,0),VLOOKUP(D127&amp;F127&amp;H127,メニュー!$H$25:$I$26,2,0)),"")</f>
        <v/>
      </c>
      <c r="J127" s="7"/>
      <c r="K127" s="7"/>
      <c r="L127" s="7"/>
      <c r="M127" s="7"/>
    </row>
    <row r="128" spans="1:13" x14ac:dyDescent="0.2">
      <c r="A128" s="6" t="str">
        <f t="shared" si="1"/>
        <v/>
      </c>
      <c r="B128" s="3"/>
      <c r="C128" s="6" t="str">
        <f>IFERROR(VLOOKUP(B128,メニュー!$B$3:$C$12,2,FALSE),"")</f>
        <v/>
      </c>
      <c r="D128" s="3"/>
      <c r="E128" s="6" t="str">
        <f>IFERROR(VLOOKUP(D128,メニュー!$D$3:$E$4,2,FALSE),"")</f>
        <v/>
      </c>
      <c r="F128" s="3"/>
      <c r="G128" s="6"/>
      <c r="H128" s="3"/>
      <c r="I128" s="6" t="str">
        <f>IFERROR(IF(F128&lt;&gt;"通信機器購入なし",VLOOKUP(F128&amp;H128,メニュー!$H$30:$I$39,2,0),VLOOKUP(D128&amp;F128&amp;H128,メニュー!$H$25:$I$26,2,0)),"")</f>
        <v/>
      </c>
      <c r="J128" s="7"/>
      <c r="K128" s="7"/>
      <c r="L128" s="7"/>
      <c r="M128" s="7"/>
    </row>
    <row r="129" spans="1:13" x14ac:dyDescent="0.2">
      <c r="A129" s="6" t="str">
        <f t="shared" si="1"/>
        <v/>
      </c>
      <c r="B129" s="3"/>
      <c r="C129" s="6" t="str">
        <f>IFERROR(VLOOKUP(B129,メニュー!$B$3:$C$12,2,FALSE),"")</f>
        <v/>
      </c>
      <c r="D129" s="3"/>
      <c r="E129" s="6" t="str">
        <f>IFERROR(VLOOKUP(D129,メニュー!$D$3:$E$4,2,FALSE),"")</f>
        <v/>
      </c>
      <c r="F129" s="3"/>
      <c r="G129" s="6"/>
      <c r="H129" s="3"/>
      <c r="I129" s="6" t="str">
        <f>IFERROR(IF(F129&lt;&gt;"通信機器購入なし",VLOOKUP(F129&amp;H129,メニュー!$H$30:$I$39,2,0),VLOOKUP(D129&amp;F129&amp;H129,メニュー!$H$25:$I$26,2,0)),"")</f>
        <v/>
      </c>
      <c r="J129" s="7"/>
      <c r="K129" s="7"/>
      <c r="L129" s="7"/>
      <c r="M129" s="7"/>
    </row>
    <row r="130" spans="1:13" x14ac:dyDescent="0.2">
      <c r="A130" s="6" t="str">
        <f t="shared" si="1"/>
        <v/>
      </c>
      <c r="B130" s="3"/>
      <c r="C130" s="6" t="str">
        <f>IFERROR(VLOOKUP(B130,メニュー!$B$3:$C$12,2,FALSE),"")</f>
        <v/>
      </c>
      <c r="D130" s="3"/>
      <c r="E130" s="6" t="str">
        <f>IFERROR(VLOOKUP(D130,メニュー!$D$3:$E$4,2,FALSE),"")</f>
        <v/>
      </c>
      <c r="F130" s="3"/>
      <c r="G130" s="6"/>
      <c r="H130" s="3"/>
      <c r="I130" s="6" t="str">
        <f>IFERROR(IF(F130&lt;&gt;"通信機器購入なし",VLOOKUP(F130&amp;H130,メニュー!$H$30:$I$39,2,0),VLOOKUP(D130&amp;F130&amp;H130,メニュー!$H$25:$I$26,2,0)),"")</f>
        <v/>
      </c>
      <c r="J130" s="7"/>
      <c r="K130" s="7"/>
      <c r="L130" s="7"/>
      <c r="M130" s="7"/>
    </row>
    <row r="131" spans="1:13" x14ac:dyDescent="0.2">
      <c r="A131" s="6" t="str">
        <f t="shared" si="1"/>
        <v/>
      </c>
      <c r="B131" s="3"/>
      <c r="C131" s="6" t="str">
        <f>IFERROR(VLOOKUP(B131,メニュー!$B$3:$C$12,2,FALSE),"")</f>
        <v/>
      </c>
      <c r="D131" s="3"/>
      <c r="E131" s="6" t="str">
        <f>IFERROR(VLOOKUP(D131,メニュー!$D$3:$E$4,2,FALSE),"")</f>
        <v/>
      </c>
      <c r="F131" s="3"/>
      <c r="G131" s="6"/>
      <c r="H131" s="3"/>
      <c r="I131" s="6" t="str">
        <f>IFERROR(IF(F131&lt;&gt;"通信機器購入なし",VLOOKUP(F131&amp;H131,メニュー!$H$30:$I$39,2,0),VLOOKUP(D131&amp;F131&amp;H131,メニュー!$H$25:$I$26,2,0)),"")</f>
        <v/>
      </c>
      <c r="J131" s="7"/>
      <c r="K131" s="7"/>
      <c r="L131" s="7"/>
      <c r="M131" s="7"/>
    </row>
    <row r="132" spans="1:13" x14ac:dyDescent="0.2">
      <c r="A132" s="6" t="str">
        <f t="shared" ref="A132:A195" si="2">IF(B132="","",ROW()-1)</f>
        <v/>
      </c>
      <c r="B132" s="3"/>
      <c r="C132" s="6" t="str">
        <f>IFERROR(VLOOKUP(B132,メニュー!$B$3:$C$12,2,FALSE),"")</f>
        <v/>
      </c>
      <c r="D132" s="3"/>
      <c r="E132" s="6" t="str">
        <f>IFERROR(VLOOKUP(D132,メニュー!$D$3:$E$4,2,FALSE),"")</f>
        <v/>
      </c>
      <c r="F132" s="3"/>
      <c r="G132" s="6"/>
      <c r="H132" s="3"/>
      <c r="I132" s="6" t="str">
        <f>IFERROR(IF(F132&lt;&gt;"通信機器購入なし",VLOOKUP(F132&amp;H132,メニュー!$H$30:$I$39,2,0),VLOOKUP(D132&amp;F132&amp;H132,メニュー!$H$25:$I$26,2,0)),"")</f>
        <v/>
      </c>
      <c r="J132" s="7"/>
      <c r="K132" s="7"/>
      <c r="L132" s="7"/>
      <c r="M132" s="7"/>
    </row>
    <row r="133" spans="1:13" x14ac:dyDescent="0.2">
      <c r="A133" s="6" t="str">
        <f t="shared" si="2"/>
        <v/>
      </c>
      <c r="B133" s="3"/>
      <c r="C133" s="6" t="str">
        <f>IFERROR(VLOOKUP(B133,メニュー!$B$3:$C$12,2,FALSE),"")</f>
        <v/>
      </c>
      <c r="D133" s="3"/>
      <c r="E133" s="6" t="str">
        <f>IFERROR(VLOOKUP(D133,メニュー!$D$3:$E$4,2,FALSE),"")</f>
        <v/>
      </c>
      <c r="F133" s="3"/>
      <c r="G133" s="6"/>
      <c r="H133" s="3"/>
      <c r="I133" s="6" t="str">
        <f>IFERROR(IF(F133&lt;&gt;"通信機器購入なし",VLOOKUP(F133&amp;H133,メニュー!$H$30:$I$39,2,0),VLOOKUP(D133&amp;F133&amp;H133,メニュー!$H$25:$I$26,2,0)),"")</f>
        <v/>
      </c>
      <c r="J133" s="7"/>
      <c r="K133" s="7"/>
      <c r="L133" s="7"/>
      <c r="M133" s="7"/>
    </row>
    <row r="134" spans="1:13" x14ac:dyDescent="0.2">
      <c r="A134" s="6" t="str">
        <f t="shared" si="2"/>
        <v/>
      </c>
      <c r="B134" s="3"/>
      <c r="C134" s="6" t="str">
        <f>IFERROR(VLOOKUP(B134,メニュー!$B$3:$C$12,2,FALSE),"")</f>
        <v/>
      </c>
      <c r="D134" s="3"/>
      <c r="E134" s="6" t="str">
        <f>IFERROR(VLOOKUP(D134,メニュー!$D$3:$E$4,2,FALSE),"")</f>
        <v/>
      </c>
      <c r="F134" s="3"/>
      <c r="G134" s="6"/>
      <c r="H134" s="3"/>
      <c r="I134" s="6" t="str">
        <f>IFERROR(IF(F134&lt;&gt;"通信機器購入なし",VLOOKUP(F134&amp;H134,メニュー!$H$30:$I$39,2,0),VLOOKUP(D134&amp;F134&amp;H134,メニュー!$H$25:$I$26,2,0)),"")</f>
        <v/>
      </c>
      <c r="J134" s="7"/>
      <c r="K134" s="7"/>
      <c r="L134" s="7"/>
      <c r="M134" s="7"/>
    </row>
    <row r="135" spans="1:13" x14ac:dyDescent="0.2">
      <c r="A135" s="6" t="str">
        <f t="shared" si="2"/>
        <v/>
      </c>
      <c r="B135" s="3"/>
      <c r="C135" s="6" t="str">
        <f>IFERROR(VLOOKUP(B135,メニュー!$B$3:$C$12,2,FALSE),"")</f>
        <v/>
      </c>
      <c r="D135" s="3"/>
      <c r="E135" s="6" t="str">
        <f>IFERROR(VLOOKUP(D135,メニュー!$D$3:$E$4,2,FALSE),"")</f>
        <v/>
      </c>
      <c r="F135" s="3"/>
      <c r="G135" s="6"/>
      <c r="H135" s="3"/>
      <c r="I135" s="6" t="str">
        <f>IFERROR(IF(F135&lt;&gt;"通信機器購入なし",VLOOKUP(F135&amp;H135,メニュー!$H$30:$I$39,2,0),VLOOKUP(D135&amp;F135&amp;H135,メニュー!$H$25:$I$26,2,0)),"")</f>
        <v/>
      </c>
      <c r="J135" s="7"/>
      <c r="K135" s="7"/>
      <c r="L135" s="7"/>
      <c r="M135" s="7"/>
    </row>
    <row r="136" spans="1:13" x14ac:dyDescent="0.2">
      <c r="A136" s="6" t="str">
        <f t="shared" si="2"/>
        <v/>
      </c>
      <c r="B136" s="3"/>
      <c r="C136" s="6" t="str">
        <f>IFERROR(VLOOKUP(B136,メニュー!$B$3:$C$12,2,FALSE),"")</f>
        <v/>
      </c>
      <c r="D136" s="3"/>
      <c r="E136" s="6" t="str">
        <f>IFERROR(VLOOKUP(D136,メニュー!$D$3:$E$4,2,FALSE),"")</f>
        <v/>
      </c>
      <c r="F136" s="3"/>
      <c r="G136" s="6"/>
      <c r="H136" s="3"/>
      <c r="I136" s="6" t="str">
        <f>IFERROR(IF(F136&lt;&gt;"通信機器購入なし",VLOOKUP(F136&amp;H136,メニュー!$H$30:$I$39,2,0),VLOOKUP(D136&amp;F136&amp;H136,メニュー!$H$25:$I$26,2,0)),"")</f>
        <v/>
      </c>
      <c r="J136" s="7"/>
      <c r="K136" s="7"/>
      <c r="L136" s="7"/>
      <c r="M136" s="7"/>
    </row>
    <row r="137" spans="1:13" x14ac:dyDescent="0.2">
      <c r="A137" s="6" t="str">
        <f t="shared" si="2"/>
        <v/>
      </c>
      <c r="B137" s="3"/>
      <c r="C137" s="6" t="str">
        <f>IFERROR(VLOOKUP(B137,メニュー!$B$3:$C$12,2,FALSE),"")</f>
        <v/>
      </c>
      <c r="D137" s="3"/>
      <c r="E137" s="6" t="str">
        <f>IFERROR(VLOOKUP(D137,メニュー!$D$3:$E$4,2,FALSE),"")</f>
        <v/>
      </c>
      <c r="F137" s="3"/>
      <c r="G137" s="6"/>
      <c r="H137" s="3"/>
      <c r="I137" s="6" t="str">
        <f>IFERROR(IF(F137&lt;&gt;"通信機器購入なし",VLOOKUP(F137&amp;H137,メニュー!$H$30:$I$39,2,0),VLOOKUP(D137&amp;F137&amp;H137,メニュー!$H$25:$I$26,2,0)),"")</f>
        <v/>
      </c>
      <c r="J137" s="7"/>
      <c r="K137" s="7"/>
      <c r="L137" s="7"/>
      <c r="M137" s="7"/>
    </row>
    <row r="138" spans="1:13" x14ac:dyDescent="0.2">
      <c r="A138" s="6" t="str">
        <f t="shared" si="2"/>
        <v/>
      </c>
      <c r="B138" s="3"/>
      <c r="C138" s="6" t="str">
        <f>IFERROR(VLOOKUP(B138,メニュー!$B$3:$C$12,2,FALSE),"")</f>
        <v/>
      </c>
      <c r="D138" s="3"/>
      <c r="E138" s="6" t="str">
        <f>IFERROR(VLOOKUP(D138,メニュー!$D$3:$E$4,2,FALSE),"")</f>
        <v/>
      </c>
      <c r="F138" s="3"/>
      <c r="G138" s="6"/>
      <c r="H138" s="3"/>
      <c r="I138" s="6" t="str">
        <f>IFERROR(IF(F138&lt;&gt;"通信機器購入なし",VLOOKUP(F138&amp;H138,メニュー!$H$30:$I$39,2,0),VLOOKUP(D138&amp;F138&amp;H138,メニュー!$H$25:$I$26,2,0)),"")</f>
        <v/>
      </c>
      <c r="J138" s="7"/>
      <c r="K138" s="7"/>
      <c r="L138" s="7"/>
      <c r="M138" s="7"/>
    </row>
    <row r="139" spans="1:13" x14ac:dyDescent="0.2">
      <c r="A139" s="6" t="str">
        <f t="shared" si="2"/>
        <v/>
      </c>
      <c r="B139" s="3"/>
      <c r="C139" s="6" t="str">
        <f>IFERROR(VLOOKUP(B139,メニュー!$B$3:$C$12,2,FALSE),"")</f>
        <v/>
      </c>
      <c r="D139" s="3"/>
      <c r="E139" s="6" t="str">
        <f>IFERROR(VLOOKUP(D139,メニュー!$D$3:$E$4,2,FALSE),"")</f>
        <v/>
      </c>
      <c r="F139" s="3"/>
      <c r="G139" s="6"/>
      <c r="H139" s="3"/>
      <c r="I139" s="6" t="str">
        <f>IFERROR(IF(F139&lt;&gt;"通信機器購入なし",VLOOKUP(F139&amp;H139,メニュー!$H$30:$I$39,2,0),VLOOKUP(D139&amp;F139&amp;H139,メニュー!$H$25:$I$26,2,0)),"")</f>
        <v/>
      </c>
      <c r="J139" s="7"/>
      <c r="K139" s="7"/>
      <c r="L139" s="7"/>
      <c r="M139" s="7"/>
    </row>
    <row r="140" spans="1:13" x14ac:dyDescent="0.2">
      <c r="A140" s="6" t="str">
        <f t="shared" si="2"/>
        <v/>
      </c>
      <c r="B140" s="3"/>
      <c r="C140" s="6" t="str">
        <f>IFERROR(VLOOKUP(B140,メニュー!$B$3:$C$12,2,FALSE),"")</f>
        <v/>
      </c>
      <c r="D140" s="3"/>
      <c r="E140" s="6" t="str">
        <f>IFERROR(VLOOKUP(D140,メニュー!$D$3:$E$4,2,FALSE),"")</f>
        <v/>
      </c>
      <c r="F140" s="3"/>
      <c r="G140" s="6"/>
      <c r="H140" s="3"/>
      <c r="I140" s="6" t="str">
        <f>IFERROR(IF(F140&lt;&gt;"通信機器購入なし",VLOOKUP(F140&amp;H140,メニュー!$H$30:$I$39,2,0),VLOOKUP(D140&amp;F140&amp;H140,メニュー!$H$25:$I$26,2,0)),"")</f>
        <v/>
      </c>
      <c r="J140" s="7"/>
      <c r="K140" s="7"/>
      <c r="L140" s="7"/>
      <c r="M140" s="7"/>
    </row>
    <row r="141" spans="1:13" x14ac:dyDescent="0.2">
      <c r="A141" s="6" t="str">
        <f t="shared" si="2"/>
        <v/>
      </c>
      <c r="B141" s="3"/>
      <c r="C141" s="6" t="str">
        <f>IFERROR(VLOOKUP(B141,メニュー!$B$3:$C$12,2,FALSE),"")</f>
        <v/>
      </c>
      <c r="D141" s="3"/>
      <c r="E141" s="6" t="str">
        <f>IFERROR(VLOOKUP(D141,メニュー!$D$3:$E$4,2,FALSE),"")</f>
        <v/>
      </c>
      <c r="F141" s="3"/>
      <c r="G141" s="6"/>
      <c r="H141" s="3"/>
      <c r="I141" s="6" t="str">
        <f>IFERROR(IF(F141&lt;&gt;"通信機器購入なし",VLOOKUP(F141&amp;H141,メニュー!$H$30:$I$39,2,0),VLOOKUP(D141&amp;F141&amp;H141,メニュー!$H$25:$I$26,2,0)),"")</f>
        <v/>
      </c>
      <c r="J141" s="7"/>
      <c r="K141" s="7"/>
      <c r="L141" s="7"/>
      <c r="M141" s="7"/>
    </row>
    <row r="142" spans="1:13" x14ac:dyDescent="0.2">
      <c r="A142" s="6" t="str">
        <f t="shared" si="2"/>
        <v/>
      </c>
      <c r="B142" s="3"/>
      <c r="C142" s="6" t="str">
        <f>IFERROR(VLOOKUP(B142,メニュー!$B$3:$C$12,2,FALSE),"")</f>
        <v/>
      </c>
      <c r="D142" s="3"/>
      <c r="E142" s="6" t="str">
        <f>IFERROR(VLOOKUP(D142,メニュー!$D$3:$E$4,2,FALSE),"")</f>
        <v/>
      </c>
      <c r="F142" s="3"/>
      <c r="G142" s="6"/>
      <c r="H142" s="3"/>
      <c r="I142" s="6" t="str">
        <f>IFERROR(IF(F142&lt;&gt;"通信機器購入なし",VLOOKUP(F142&amp;H142,メニュー!$H$30:$I$39,2,0),VLOOKUP(D142&amp;F142&amp;H142,メニュー!$H$25:$I$26,2,0)),"")</f>
        <v/>
      </c>
      <c r="J142" s="7"/>
      <c r="K142" s="7"/>
      <c r="L142" s="7"/>
      <c r="M142" s="7"/>
    </row>
    <row r="143" spans="1:13" x14ac:dyDescent="0.2">
      <c r="A143" s="6" t="str">
        <f t="shared" si="2"/>
        <v/>
      </c>
      <c r="B143" s="3"/>
      <c r="C143" s="6" t="str">
        <f>IFERROR(VLOOKUP(B143,メニュー!$B$3:$C$12,2,FALSE),"")</f>
        <v/>
      </c>
      <c r="D143" s="3"/>
      <c r="E143" s="6" t="str">
        <f>IFERROR(VLOOKUP(D143,メニュー!$D$3:$E$4,2,FALSE),"")</f>
        <v/>
      </c>
      <c r="F143" s="3"/>
      <c r="G143" s="6"/>
      <c r="H143" s="3"/>
      <c r="I143" s="6" t="str">
        <f>IFERROR(IF(F143&lt;&gt;"通信機器購入なし",VLOOKUP(F143&amp;H143,メニュー!$H$30:$I$39,2,0),VLOOKUP(D143&amp;F143&amp;H143,メニュー!$H$25:$I$26,2,0)),"")</f>
        <v/>
      </c>
      <c r="J143" s="7"/>
      <c r="K143" s="7"/>
      <c r="L143" s="7"/>
      <c r="M143" s="7"/>
    </row>
    <row r="144" spans="1:13" x14ac:dyDescent="0.2">
      <c r="A144" s="6" t="str">
        <f t="shared" si="2"/>
        <v/>
      </c>
      <c r="B144" s="3"/>
      <c r="C144" s="6" t="str">
        <f>IFERROR(VLOOKUP(B144,メニュー!$B$3:$C$12,2,FALSE),"")</f>
        <v/>
      </c>
      <c r="D144" s="3"/>
      <c r="E144" s="6" t="str">
        <f>IFERROR(VLOOKUP(D144,メニュー!$D$3:$E$4,2,FALSE),"")</f>
        <v/>
      </c>
      <c r="F144" s="3"/>
      <c r="G144" s="6"/>
      <c r="H144" s="3"/>
      <c r="I144" s="6" t="str">
        <f>IFERROR(IF(F144&lt;&gt;"通信機器購入なし",VLOOKUP(F144&amp;H144,メニュー!$H$30:$I$39,2,0),VLOOKUP(D144&amp;F144&amp;H144,メニュー!$H$25:$I$26,2,0)),"")</f>
        <v/>
      </c>
      <c r="J144" s="7"/>
      <c r="K144" s="7"/>
      <c r="L144" s="7"/>
      <c r="M144" s="7"/>
    </row>
    <row r="145" spans="1:13" x14ac:dyDescent="0.2">
      <c r="A145" s="6" t="str">
        <f t="shared" si="2"/>
        <v/>
      </c>
      <c r="B145" s="3"/>
      <c r="C145" s="6" t="str">
        <f>IFERROR(VLOOKUP(B145,メニュー!$B$3:$C$12,2,FALSE),"")</f>
        <v/>
      </c>
      <c r="D145" s="3"/>
      <c r="E145" s="6" t="str">
        <f>IFERROR(VLOOKUP(D145,メニュー!$D$3:$E$4,2,FALSE),"")</f>
        <v/>
      </c>
      <c r="F145" s="3"/>
      <c r="G145" s="6"/>
      <c r="H145" s="3"/>
      <c r="I145" s="6" t="str">
        <f>IFERROR(IF(F145&lt;&gt;"通信機器購入なし",VLOOKUP(F145&amp;H145,メニュー!$H$30:$I$39,2,0),VLOOKUP(D145&amp;F145&amp;H145,メニュー!$H$25:$I$26,2,0)),"")</f>
        <v/>
      </c>
      <c r="J145" s="7"/>
      <c r="K145" s="7"/>
      <c r="L145" s="7"/>
      <c r="M145" s="7"/>
    </row>
    <row r="146" spans="1:13" x14ac:dyDescent="0.2">
      <c r="A146" s="6" t="str">
        <f t="shared" si="2"/>
        <v/>
      </c>
      <c r="B146" s="3"/>
      <c r="C146" s="6" t="str">
        <f>IFERROR(VLOOKUP(B146,メニュー!$B$3:$C$12,2,FALSE),"")</f>
        <v/>
      </c>
      <c r="D146" s="3"/>
      <c r="E146" s="6" t="str">
        <f>IFERROR(VLOOKUP(D146,メニュー!$D$3:$E$4,2,FALSE),"")</f>
        <v/>
      </c>
      <c r="F146" s="3"/>
      <c r="G146" s="6"/>
      <c r="H146" s="3"/>
      <c r="I146" s="6" t="str">
        <f>IFERROR(IF(F146&lt;&gt;"通信機器購入なし",VLOOKUP(F146&amp;H146,メニュー!$H$30:$I$39,2,0),VLOOKUP(D146&amp;F146&amp;H146,メニュー!$H$25:$I$26,2,0)),"")</f>
        <v/>
      </c>
      <c r="J146" s="7"/>
      <c r="K146" s="7"/>
      <c r="L146" s="7"/>
      <c r="M146" s="7"/>
    </row>
    <row r="147" spans="1:13" x14ac:dyDescent="0.2">
      <c r="A147" s="6" t="str">
        <f t="shared" si="2"/>
        <v/>
      </c>
      <c r="B147" s="3"/>
      <c r="C147" s="6" t="str">
        <f>IFERROR(VLOOKUP(B147,メニュー!$B$3:$C$12,2,FALSE),"")</f>
        <v/>
      </c>
      <c r="D147" s="3"/>
      <c r="E147" s="6" t="str">
        <f>IFERROR(VLOOKUP(D147,メニュー!$D$3:$E$4,2,FALSE),"")</f>
        <v/>
      </c>
      <c r="F147" s="3"/>
      <c r="G147" s="6"/>
      <c r="H147" s="3"/>
      <c r="I147" s="6" t="str">
        <f>IFERROR(IF(F147&lt;&gt;"通信機器購入なし",VLOOKUP(F147&amp;H147,メニュー!$H$30:$I$39,2,0),VLOOKUP(D147&amp;F147&amp;H147,メニュー!$H$25:$I$26,2,0)),"")</f>
        <v/>
      </c>
      <c r="J147" s="7"/>
      <c r="K147" s="7"/>
      <c r="L147" s="7"/>
      <c r="M147" s="7"/>
    </row>
    <row r="148" spans="1:13" x14ac:dyDescent="0.2">
      <c r="A148" s="6" t="str">
        <f t="shared" si="2"/>
        <v/>
      </c>
      <c r="B148" s="3"/>
      <c r="C148" s="6" t="str">
        <f>IFERROR(VLOOKUP(B148,メニュー!$B$3:$C$12,2,FALSE),"")</f>
        <v/>
      </c>
      <c r="D148" s="3"/>
      <c r="E148" s="6" t="str">
        <f>IFERROR(VLOOKUP(D148,メニュー!$D$3:$E$4,2,FALSE),"")</f>
        <v/>
      </c>
      <c r="F148" s="3"/>
      <c r="G148" s="6"/>
      <c r="H148" s="3"/>
      <c r="I148" s="6" t="str">
        <f>IFERROR(IF(F148&lt;&gt;"通信機器購入なし",VLOOKUP(F148&amp;H148,メニュー!$H$30:$I$39,2,0),VLOOKUP(D148&amp;F148&amp;H148,メニュー!$H$25:$I$26,2,0)),"")</f>
        <v/>
      </c>
      <c r="J148" s="7"/>
      <c r="K148" s="7"/>
      <c r="L148" s="7"/>
      <c r="M148" s="7"/>
    </row>
    <row r="149" spans="1:13" x14ac:dyDescent="0.2">
      <c r="A149" s="6" t="str">
        <f t="shared" si="2"/>
        <v/>
      </c>
      <c r="B149" s="3"/>
      <c r="C149" s="6" t="str">
        <f>IFERROR(VLOOKUP(B149,メニュー!$B$3:$C$12,2,FALSE),"")</f>
        <v/>
      </c>
      <c r="D149" s="3"/>
      <c r="E149" s="6" t="str">
        <f>IFERROR(VLOOKUP(D149,メニュー!$D$3:$E$4,2,FALSE),"")</f>
        <v/>
      </c>
      <c r="F149" s="3"/>
      <c r="G149" s="6"/>
      <c r="H149" s="3"/>
      <c r="I149" s="6" t="str">
        <f>IFERROR(IF(F149&lt;&gt;"通信機器購入なし",VLOOKUP(F149&amp;H149,メニュー!$H$30:$I$39,2,0),VLOOKUP(D149&amp;F149&amp;H149,メニュー!$H$25:$I$26,2,0)),"")</f>
        <v/>
      </c>
      <c r="J149" s="7"/>
      <c r="K149" s="7"/>
      <c r="L149" s="7"/>
      <c r="M149" s="7"/>
    </row>
    <row r="150" spans="1:13" x14ac:dyDescent="0.2">
      <c r="A150" s="6" t="str">
        <f t="shared" si="2"/>
        <v/>
      </c>
      <c r="B150" s="3"/>
      <c r="C150" s="6" t="str">
        <f>IFERROR(VLOOKUP(B150,メニュー!$B$3:$C$12,2,FALSE),"")</f>
        <v/>
      </c>
      <c r="D150" s="3"/>
      <c r="E150" s="6" t="str">
        <f>IFERROR(VLOOKUP(D150,メニュー!$D$3:$E$4,2,FALSE),"")</f>
        <v/>
      </c>
      <c r="F150" s="3"/>
      <c r="G150" s="6"/>
      <c r="H150" s="3"/>
      <c r="I150" s="6" t="str">
        <f>IFERROR(IF(F150&lt;&gt;"通信機器購入なし",VLOOKUP(F150&amp;H150,メニュー!$H$30:$I$39,2,0),VLOOKUP(D150&amp;F150&amp;H150,メニュー!$H$25:$I$26,2,0)),"")</f>
        <v/>
      </c>
      <c r="J150" s="7"/>
      <c r="K150" s="7"/>
      <c r="L150" s="7"/>
      <c r="M150" s="7"/>
    </row>
    <row r="151" spans="1:13" x14ac:dyDescent="0.2">
      <c r="A151" s="6" t="str">
        <f t="shared" si="2"/>
        <v/>
      </c>
      <c r="B151" s="3"/>
      <c r="C151" s="6" t="str">
        <f>IFERROR(VLOOKUP(B151,メニュー!$B$3:$C$12,2,FALSE),"")</f>
        <v/>
      </c>
      <c r="D151" s="3"/>
      <c r="E151" s="6" t="str">
        <f>IFERROR(VLOOKUP(D151,メニュー!$D$3:$E$4,2,FALSE),"")</f>
        <v/>
      </c>
      <c r="F151" s="3"/>
      <c r="G151" s="6"/>
      <c r="H151" s="3"/>
      <c r="I151" s="6" t="str">
        <f>IFERROR(IF(F151&lt;&gt;"通信機器購入なし",VLOOKUP(F151&amp;H151,メニュー!$H$30:$I$39,2,0),VLOOKUP(D151&amp;F151&amp;H151,メニュー!$H$25:$I$26,2,0)),"")</f>
        <v/>
      </c>
      <c r="J151" s="7"/>
      <c r="K151" s="7"/>
      <c r="L151" s="7"/>
      <c r="M151" s="7"/>
    </row>
    <row r="152" spans="1:13" x14ac:dyDescent="0.2">
      <c r="A152" s="6" t="str">
        <f t="shared" si="2"/>
        <v/>
      </c>
      <c r="B152" s="3"/>
      <c r="C152" s="6" t="str">
        <f>IFERROR(VLOOKUP(B152,メニュー!$B$3:$C$12,2,FALSE),"")</f>
        <v/>
      </c>
      <c r="D152" s="3"/>
      <c r="E152" s="6" t="str">
        <f>IFERROR(VLOOKUP(D152,メニュー!$D$3:$E$4,2,FALSE),"")</f>
        <v/>
      </c>
      <c r="F152" s="3"/>
      <c r="G152" s="6"/>
      <c r="H152" s="3"/>
      <c r="I152" s="6" t="str">
        <f>IFERROR(IF(F152&lt;&gt;"通信機器購入なし",VLOOKUP(F152&amp;H152,メニュー!$H$30:$I$39,2,0),VLOOKUP(D152&amp;F152&amp;H152,メニュー!$H$25:$I$26,2,0)),"")</f>
        <v/>
      </c>
      <c r="J152" s="7"/>
      <c r="K152" s="7"/>
      <c r="L152" s="7"/>
      <c r="M152" s="7"/>
    </row>
    <row r="153" spans="1:13" x14ac:dyDescent="0.2">
      <c r="A153" s="6" t="str">
        <f t="shared" si="2"/>
        <v/>
      </c>
      <c r="B153" s="3"/>
      <c r="C153" s="6" t="str">
        <f>IFERROR(VLOOKUP(B153,メニュー!$B$3:$C$12,2,FALSE),"")</f>
        <v/>
      </c>
      <c r="D153" s="3"/>
      <c r="E153" s="6" t="str">
        <f>IFERROR(VLOOKUP(D153,メニュー!$D$3:$E$4,2,FALSE),"")</f>
        <v/>
      </c>
      <c r="F153" s="3"/>
      <c r="G153" s="6"/>
      <c r="H153" s="3"/>
      <c r="I153" s="6" t="str">
        <f>IFERROR(IF(F153&lt;&gt;"通信機器購入なし",VLOOKUP(F153&amp;H153,メニュー!$H$30:$I$39,2,0),VLOOKUP(D153&amp;F153&amp;H153,メニュー!$H$25:$I$26,2,0)),"")</f>
        <v/>
      </c>
      <c r="J153" s="7"/>
      <c r="K153" s="7"/>
      <c r="L153" s="7"/>
      <c r="M153" s="7"/>
    </row>
    <row r="154" spans="1:13" x14ac:dyDescent="0.2">
      <c r="A154" s="6" t="str">
        <f t="shared" si="2"/>
        <v/>
      </c>
      <c r="B154" s="3"/>
      <c r="C154" s="6" t="str">
        <f>IFERROR(VLOOKUP(B154,メニュー!$B$3:$C$12,2,FALSE),"")</f>
        <v/>
      </c>
      <c r="D154" s="3"/>
      <c r="E154" s="6" t="str">
        <f>IFERROR(VLOOKUP(D154,メニュー!$D$3:$E$4,2,FALSE),"")</f>
        <v/>
      </c>
      <c r="F154" s="3"/>
      <c r="G154" s="6"/>
      <c r="H154" s="3"/>
      <c r="I154" s="6" t="str">
        <f>IFERROR(IF(F154&lt;&gt;"通信機器購入なし",VLOOKUP(F154&amp;H154,メニュー!$H$30:$I$39,2,0),VLOOKUP(D154&amp;F154&amp;H154,メニュー!$H$25:$I$26,2,0)),"")</f>
        <v/>
      </c>
      <c r="J154" s="7"/>
      <c r="K154" s="7"/>
      <c r="L154" s="7"/>
      <c r="M154" s="7"/>
    </row>
    <row r="155" spans="1:13" x14ac:dyDescent="0.2">
      <c r="A155" s="6" t="str">
        <f t="shared" si="2"/>
        <v/>
      </c>
      <c r="B155" s="3"/>
      <c r="C155" s="6" t="str">
        <f>IFERROR(VLOOKUP(B155,メニュー!$B$3:$C$12,2,FALSE),"")</f>
        <v/>
      </c>
      <c r="D155" s="3"/>
      <c r="E155" s="6" t="str">
        <f>IFERROR(VLOOKUP(D155,メニュー!$D$3:$E$4,2,FALSE),"")</f>
        <v/>
      </c>
      <c r="F155" s="3"/>
      <c r="G155" s="6"/>
      <c r="H155" s="3"/>
      <c r="I155" s="6" t="str">
        <f>IFERROR(IF(F155&lt;&gt;"通信機器購入なし",VLOOKUP(F155&amp;H155,メニュー!$H$30:$I$39,2,0),VLOOKUP(D155&amp;F155&amp;H155,メニュー!$H$25:$I$26,2,0)),"")</f>
        <v/>
      </c>
      <c r="J155" s="7"/>
      <c r="K155" s="7"/>
      <c r="L155" s="7"/>
      <c r="M155" s="7"/>
    </row>
    <row r="156" spans="1:13" x14ac:dyDescent="0.2">
      <c r="A156" s="6" t="str">
        <f t="shared" si="2"/>
        <v/>
      </c>
      <c r="B156" s="3"/>
      <c r="C156" s="6" t="str">
        <f>IFERROR(VLOOKUP(B156,メニュー!$B$3:$C$12,2,FALSE),"")</f>
        <v/>
      </c>
      <c r="D156" s="3"/>
      <c r="E156" s="6" t="str">
        <f>IFERROR(VLOOKUP(D156,メニュー!$D$3:$E$4,2,FALSE),"")</f>
        <v/>
      </c>
      <c r="F156" s="3"/>
      <c r="G156" s="6"/>
      <c r="H156" s="3"/>
      <c r="I156" s="6" t="str">
        <f>IFERROR(IF(F156&lt;&gt;"通信機器購入なし",VLOOKUP(F156&amp;H156,メニュー!$H$30:$I$39,2,0),VLOOKUP(D156&amp;F156&amp;H156,メニュー!$H$25:$I$26,2,0)),"")</f>
        <v/>
      </c>
      <c r="J156" s="7"/>
      <c r="K156" s="7"/>
      <c r="L156" s="7"/>
      <c r="M156" s="7"/>
    </row>
    <row r="157" spans="1:13" x14ac:dyDescent="0.2">
      <c r="A157" s="6" t="str">
        <f t="shared" si="2"/>
        <v/>
      </c>
      <c r="B157" s="3"/>
      <c r="C157" s="6" t="str">
        <f>IFERROR(VLOOKUP(B157,メニュー!$B$3:$C$12,2,FALSE),"")</f>
        <v/>
      </c>
      <c r="D157" s="3"/>
      <c r="E157" s="6" t="str">
        <f>IFERROR(VLOOKUP(D157,メニュー!$D$3:$E$4,2,FALSE),"")</f>
        <v/>
      </c>
      <c r="F157" s="3"/>
      <c r="G157" s="6"/>
      <c r="H157" s="3"/>
      <c r="I157" s="6" t="str">
        <f>IFERROR(IF(F157&lt;&gt;"通信機器購入なし",VLOOKUP(F157&amp;H157,メニュー!$H$30:$I$39,2,0),VLOOKUP(D157&amp;F157&amp;H157,メニュー!$H$25:$I$26,2,0)),"")</f>
        <v/>
      </c>
      <c r="J157" s="7"/>
      <c r="K157" s="7"/>
      <c r="L157" s="7"/>
      <c r="M157" s="7"/>
    </row>
    <row r="158" spans="1:13" x14ac:dyDescent="0.2">
      <c r="A158" s="6" t="str">
        <f t="shared" si="2"/>
        <v/>
      </c>
      <c r="B158" s="3"/>
      <c r="C158" s="6" t="str">
        <f>IFERROR(VLOOKUP(B158,メニュー!$B$3:$C$12,2,FALSE),"")</f>
        <v/>
      </c>
      <c r="D158" s="3"/>
      <c r="E158" s="6" t="str">
        <f>IFERROR(VLOOKUP(D158,メニュー!$D$3:$E$4,2,FALSE),"")</f>
        <v/>
      </c>
      <c r="F158" s="3"/>
      <c r="G158" s="6"/>
      <c r="H158" s="3"/>
      <c r="I158" s="6" t="str">
        <f>IFERROR(IF(F158&lt;&gt;"通信機器購入なし",VLOOKUP(F158&amp;H158,メニュー!$H$30:$I$39,2,0),VLOOKUP(D158&amp;F158&amp;H158,メニュー!$H$25:$I$26,2,0)),"")</f>
        <v/>
      </c>
      <c r="J158" s="7"/>
      <c r="K158" s="7"/>
      <c r="L158" s="7"/>
      <c r="M158" s="7"/>
    </row>
    <row r="159" spans="1:13" x14ac:dyDescent="0.2">
      <c r="A159" s="6" t="str">
        <f t="shared" si="2"/>
        <v/>
      </c>
      <c r="B159" s="3"/>
      <c r="C159" s="6" t="str">
        <f>IFERROR(VLOOKUP(B159,メニュー!$B$3:$C$12,2,FALSE),"")</f>
        <v/>
      </c>
      <c r="D159" s="3"/>
      <c r="E159" s="6" t="str">
        <f>IFERROR(VLOOKUP(D159,メニュー!$D$3:$E$4,2,FALSE),"")</f>
        <v/>
      </c>
      <c r="F159" s="3"/>
      <c r="G159" s="6"/>
      <c r="H159" s="3"/>
      <c r="I159" s="6" t="str">
        <f>IFERROR(IF(F159&lt;&gt;"通信機器購入なし",VLOOKUP(F159&amp;H159,メニュー!$H$30:$I$39,2,0),VLOOKUP(D159&amp;F159&amp;H159,メニュー!$H$25:$I$26,2,0)),"")</f>
        <v/>
      </c>
      <c r="J159" s="7"/>
      <c r="K159" s="7"/>
      <c r="L159" s="7"/>
      <c r="M159" s="7"/>
    </row>
    <row r="160" spans="1:13" x14ac:dyDescent="0.2">
      <c r="A160" s="6" t="str">
        <f t="shared" si="2"/>
        <v/>
      </c>
      <c r="B160" s="3"/>
      <c r="C160" s="6" t="str">
        <f>IFERROR(VLOOKUP(B160,メニュー!$B$3:$C$12,2,FALSE),"")</f>
        <v/>
      </c>
      <c r="D160" s="3"/>
      <c r="E160" s="6" t="str">
        <f>IFERROR(VLOOKUP(D160,メニュー!$D$3:$E$4,2,FALSE),"")</f>
        <v/>
      </c>
      <c r="F160" s="3"/>
      <c r="G160" s="6"/>
      <c r="H160" s="3"/>
      <c r="I160" s="6" t="str">
        <f>IFERROR(IF(F160&lt;&gt;"通信機器購入なし",VLOOKUP(F160&amp;H160,メニュー!$H$30:$I$39,2,0),VLOOKUP(D160&amp;F160&amp;H160,メニュー!$H$25:$I$26,2,0)),"")</f>
        <v/>
      </c>
      <c r="J160" s="7"/>
      <c r="K160" s="7"/>
      <c r="L160" s="7"/>
      <c r="M160" s="7"/>
    </row>
    <row r="161" spans="1:13" x14ac:dyDescent="0.2">
      <c r="A161" s="6" t="str">
        <f t="shared" si="2"/>
        <v/>
      </c>
      <c r="B161" s="3"/>
      <c r="C161" s="6" t="str">
        <f>IFERROR(VLOOKUP(B161,メニュー!$B$3:$C$12,2,FALSE),"")</f>
        <v/>
      </c>
      <c r="D161" s="3"/>
      <c r="E161" s="6" t="str">
        <f>IFERROR(VLOOKUP(D161,メニュー!$D$3:$E$4,2,FALSE),"")</f>
        <v/>
      </c>
      <c r="F161" s="3"/>
      <c r="G161" s="6"/>
      <c r="H161" s="3"/>
      <c r="I161" s="6" t="str">
        <f>IFERROR(IF(F161&lt;&gt;"通信機器購入なし",VLOOKUP(F161&amp;H161,メニュー!$H$30:$I$39,2,0),VLOOKUP(D161&amp;F161&amp;H161,メニュー!$H$25:$I$26,2,0)),"")</f>
        <v/>
      </c>
      <c r="J161" s="7"/>
      <c r="K161" s="7"/>
      <c r="L161" s="7"/>
      <c r="M161" s="7"/>
    </row>
    <row r="162" spans="1:13" x14ac:dyDescent="0.2">
      <c r="A162" s="6" t="str">
        <f t="shared" si="2"/>
        <v/>
      </c>
      <c r="B162" s="3"/>
      <c r="C162" s="6" t="str">
        <f>IFERROR(VLOOKUP(B162,メニュー!$B$3:$C$12,2,FALSE),"")</f>
        <v/>
      </c>
      <c r="D162" s="3"/>
      <c r="E162" s="6" t="str">
        <f>IFERROR(VLOOKUP(D162,メニュー!$D$3:$E$4,2,FALSE),"")</f>
        <v/>
      </c>
      <c r="F162" s="3"/>
      <c r="G162" s="6"/>
      <c r="H162" s="3"/>
      <c r="I162" s="6" t="str">
        <f>IFERROR(IF(F162&lt;&gt;"通信機器購入なし",VLOOKUP(F162&amp;H162,メニュー!$H$30:$I$39,2,0),VLOOKUP(D162&amp;F162&amp;H162,メニュー!$H$25:$I$26,2,0)),"")</f>
        <v/>
      </c>
      <c r="J162" s="7"/>
      <c r="K162" s="7"/>
      <c r="L162" s="7"/>
      <c r="M162" s="7"/>
    </row>
    <row r="163" spans="1:13" x14ac:dyDescent="0.2">
      <c r="A163" s="6" t="str">
        <f t="shared" si="2"/>
        <v/>
      </c>
      <c r="B163" s="3"/>
      <c r="C163" s="6" t="str">
        <f>IFERROR(VLOOKUP(B163,メニュー!$B$3:$C$12,2,FALSE),"")</f>
        <v/>
      </c>
      <c r="D163" s="3"/>
      <c r="E163" s="6" t="str">
        <f>IFERROR(VLOOKUP(D163,メニュー!$D$3:$E$4,2,FALSE),"")</f>
        <v/>
      </c>
      <c r="F163" s="3"/>
      <c r="G163" s="6"/>
      <c r="H163" s="3"/>
      <c r="I163" s="6" t="str">
        <f>IFERROR(IF(F163&lt;&gt;"通信機器購入なし",VLOOKUP(F163&amp;H163,メニュー!$H$30:$I$39,2,0),VLOOKUP(D163&amp;F163&amp;H163,メニュー!$H$25:$I$26,2,0)),"")</f>
        <v/>
      </c>
      <c r="J163" s="7"/>
      <c r="K163" s="7"/>
      <c r="L163" s="7"/>
      <c r="M163" s="7"/>
    </row>
    <row r="164" spans="1:13" x14ac:dyDescent="0.2">
      <c r="A164" s="6" t="str">
        <f t="shared" si="2"/>
        <v/>
      </c>
      <c r="B164" s="3"/>
      <c r="C164" s="6" t="str">
        <f>IFERROR(VLOOKUP(B164,メニュー!$B$3:$C$12,2,FALSE),"")</f>
        <v/>
      </c>
      <c r="D164" s="3"/>
      <c r="E164" s="6" t="str">
        <f>IFERROR(VLOOKUP(D164,メニュー!$D$3:$E$4,2,FALSE),"")</f>
        <v/>
      </c>
      <c r="F164" s="3"/>
      <c r="G164" s="6"/>
      <c r="H164" s="3"/>
      <c r="I164" s="6" t="str">
        <f>IFERROR(IF(F164&lt;&gt;"通信機器購入なし",VLOOKUP(F164&amp;H164,メニュー!$H$30:$I$39,2,0),VLOOKUP(D164&amp;F164&amp;H164,メニュー!$H$25:$I$26,2,0)),"")</f>
        <v/>
      </c>
      <c r="J164" s="7"/>
      <c r="K164" s="7"/>
      <c r="L164" s="7"/>
      <c r="M164" s="7"/>
    </row>
    <row r="165" spans="1:13" x14ac:dyDescent="0.2">
      <c r="A165" s="6" t="str">
        <f t="shared" si="2"/>
        <v/>
      </c>
      <c r="B165" s="3"/>
      <c r="C165" s="6" t="str">
        <f>IFERROR(VLOOKUP(B165,メニュー!$B$3:$C$12,2,FALSE),"")</f>
        <v/>
      </c>
      <c r="D165" s="3"/>
      <c r="E165" s="6" t="str">
        <f>IFERROR(VLOOKUP(D165,メニュー!$D$3:$E$4,2,FALSE),"")</f>
        <v/>
      </c>
      <c r="F165" s="3"/>
      <c r="G165" s="6"/>
      <c r="H165" s="3"/>
      <c r="I165" s="6" t="str">
        <f>IFERROR(IF(F165&lt;&gt;"通信機器購入なし",VLOOKUP(F165&amp;H165,メニュー!$H$30:$I$39,2,0),VLOOKUP(D165&amp;F165&amp;H165,メニュー!$H$25:$I$26,2,0)),"")</f>
        <v/>
      </c>
      <c r="J165" s="7"/>
      <c r="K165" s="7"/>
      <c r="L165" s="7"/>
      <c r="M165" s="7"/>
    </row>
    <row r="166" spans="1:13" x14ac:dyDescent="0.2">
      <c r="A166" s="6" t="str">
        <f t="shared" si="2"/>
        <v/>
      </c>
      <c r="B166" s="3"/>
      <c r="C166" s="6" t="str">
        <f>IFERROR(VLOOKUP(B166,メニュー!$B$3:$C$12,2,FALSE),"")</f>
        <v/>
      </c>
      <c r="D166" s="3"/>
      <c r="E166" s="6" t="str">
        <f>IFERROR(VLOOKUP(D166,メニュー!$D$3:$E$4,2,FALSE),"")</f>
        <v/>
      </c>
      <c r="F166" s="3"/>
      <c r="G166" s="6"/>
      <c r="H166" s="3"/>
      <c r="I166" s="6" t="str">
        <f>IFERROR(IF(F166&lt;&gt;"通信機器購入なし",VLOOKUP(F166&amp;H166,メニュー!$H$30:$I$39,2,0),VLOOKUP(D166&amp;F166&amp;H166,メニュー!$H$25:$I$26,2,0)),"")</f>
        <v/>
      </c>
      <c r="J166" s="7"/>
      <c r="K166" s="7"/>
      <c r="L166" s="7"/>
      <c r="M166" s="7"/>
    </row>
    <row r="167" spans="1:13" x14ac:dyDescent="0.2">
      <c r="A167" s="6" t="str">
        <f t="shared" si="2"/>
        <v/>
      </c>
      <c r="B167" s="3"/>
      <c r="C167" s="6" t="str">
        <f>IFERROR(VLOOKUP(B167,メニュー!$B$3:$C$12,2,FALSE),"")</f>
        <v/>
      </c>
      <c r="D167" s="3"/>
      <c r="E167" s="6" t="str">
        <f>IFERROR(VLOOKUP(D167,メニュー!$D$3:$E$4,2,FALSE),"")</f>
        <v/>
      </c>
      <c r="F167" s="3"/>
      <c r="G167" s="6"/>
      <c r="H167" s="3"/>
      <c r="I167" s="6" t="str">
        <f>IFERROR(IF(F167&lt;&gt;"通信機器購入なし",VLOOKUP(F167&amp;H167,メニュー!$H$30:$I$39,2,0),VLOOKUP(D167&amp;F167&amp;H167,メニュー!$H$25:$I$26,2,0)),"")</f>
        <v/>
      </c>
      <c r="J167" s="7"/>
      <c r="K167" s="7"/>
      <c r="L167" s="7"/>
      <c r="M167" s="7"/>
    </row>
    <row r="168" spans="1:13" x14ac:dyDescent="0.2">
      <c r="A168" s="6" t="str">
        <f t="shared" si="2"/>
        <v/>
      </c>
      <c r="B168" s="3"/>
      <c r="C168" s="6" t="str">
        <f>IFERROR(VLOOKUP(B168,メニュー!$B$3:$C$12,2,FALSE),"")</f>
        <v/>
      </c>
      <c r="D168" s="3"/>
      <c r="E168" s="6" t="str">
        <f>IFERROR(VLOOKUP(D168,メニュー!$D$3:$E$4,2,FALSE),"")</f>
        <v/>
      </c>
      <c r="F168" s="3"/>
      <c r="G168" s="6"/>
      <c r="H168" s="3"/>
      <c r="I168" s="6" t="str">
        <f>IFERROR(IF(F168&lt;&gt;"通信機器購入なし",VLOOKUP(F168&amp;H168,メニュー!$H$30:$I$39,2,0),VLOOKUP(D168&amp;F168&amp;H168,メニュー!$H$25:$I$26,2,0)),"")</f>
        <v/>
      </c>
      <c r="J168" s="7"/>
      <c r="K168" s="7"/>
      <c r="L168" s="7"/>
      <c r="M168" s="7"/>
    </row>
    <row r="169" spans="1:13" x14ac:dyDescent="0.2">
      <c r="A169" s="6" t="str">
        <f t="shared" si="2"/>
        <v/>
      </c>
      <c r="B169" s="3"/>
      <c r="C169" s="6" t="str">
        <f>IFERROR(VLOOKUP(B169,メニュー!$B$3:$C$12,2,FALSE),"")</f>
        <v/>
      </c>
      <c r="D169" s="3"/>
      <c r="E169" s="6" t="str">
        <f>IFERROR(VLOOKUP(D169,メニュー!$D$3:$E$4,2,FALSE),"")</f>
        <v/>
      </c>
      <c r="F169" s="3"/>
      <c r="G169" s="6"/>
      <c r="H169" s="3"/>
      <c r="I169" s="6" t="str">
        <f>IFERROR(IF(F169&lt;&gt;"通信機器購入なし",VLOOKUP(F169&amp;H169,メニュー!$H$30:$I$39,2,0),VLOOKUP(D169&amp;F169&amp;H169,メニュー!$H$25:$I$26,2,0)),"")</f>
        <v/>
      </c>
      <c r="J169" s="7"/>
      <c r="K169" s="7"/>
      <c r="L169" s="7"/>
      <c r="M169" s="7"/>
    </row>
    <row r="170" spans="1:13" x14ac:dyDescent="0.2">
      <c r="A170" s="6" t="str">
        <f t="shared" si="2"/>
        <v/>
      </c>
      <c r="B170" s="3"/>
      <c r="C170" s="6" t="str">
        <f>IFERROR(VLOOKUP(B170,メニュー!$B$3:$C$12,2,FALSE),"")</f>
        <v/>
      </c>
      <c r="D170" s="3"/>
      <c r="E170" s="6" t="str">
        <f>IFERROR(VLOOKUP(D170,メニュー!$D$3:$E$4,2,FALSE),"")</f>
        <v/>
      </c>
      <c r="F170" s="3"/>
      <c r="G170" s="6"/>
      <c r="H170" s="3"/>
      <c r="I170" s="6" t="str">
        <f>IFERROR(IF(F170&lt;&gt;"通信機器購入なし",VLOOKUP(F170&amp;H170,メニュー!$H$30:$I$39,2,0),VLOOKUP(D170&amp;F170&amp;H170,メニュー!$H$25:$I$26,2,0)),"")</f>
        <v/>
      </c>
      <c r="J170" s="7"/>
      <c r="K170" s="7"/>
      <c r="L170" s="7"/>
      <c r="M170" s="7"/>
    </row>
    <row r="171" spans="1:13" x14ac:dyDescent="0.2">
      <c r="A171" s="6" t="str">
        <f t="shared" si="2"/>
        <v/>
      </c>
      <c r="B171" s="3"/>
      <c r="C171" s="6" t="str">
        <f>IFERROR(VLOOKUP(B171,メニュー!$B$3:$C$12,2,FALSE),"")</f>
        <v/>
      </c>
      <c r="D171" s="3"/>
      <c r="E171" s="6" t="str">
        <f>IFERROR(VLOOKUP(D171,メニュー!$D$3:$E$4,2,FALSE),"")</f>
        <v/>
      </c>
      <c r="F171" s="3"/>
      <c r="G171" s="6"/>
      <c r="H171" s="3"/>
      <c r="I171" s="6" t="str">
        <f>IFERROR(IF(F171&lt;&gt;"通信機器購入なし",VLOOKUP(F171&amp;H171,メニュー!$H$30:$I$39,2,0),VLOOKUP(D171&amp;F171&amp;H171,メニュー!$H$25:$I$26,2,0)),"")</f>
        <v/>
      </c>
      <c r="J171" s="7"/>
      <c r="K171" s="7"/>
      <c r="L171" s="7"/>
      <c r="M171" s="7"/>
    </row>
    <row r="172" spans="1:13" x14ac:dyDescent="0.2">
      <c r="A172" s="6" t="str">
        <f t="shared" si="2"/>
        <v/>
      </c>
      <c r="B172" s="3"/>
      <c r="C172" s="6" t="str">
        <f>IFERROR(VLOOKUP(B172,メニュー!$B$3:$C$12,2,FALSE),"")</f>
        <v/>
      </c>
      <c r="D172" s="3"/>
      <c r="E172" s="6" t="str">
        <f>IFERROR(VLOOKUP(D172,メニュー!$D$3:$E$4,2,FALSE),"")</f>
        <v/>
      </c>
      <c r="F172" s="3"/>
      <c r="G172" s="6"/>
      <c r="H172" s="3"/>
      <c r="I172" s="6" t="str">
        <f>IFERROR(IF(F172&lt;&gt;"通信機器購入なし",VLOOKUP(F172&amp;H172,メニュー!$H$30:$I$39,2,0),VLOOKUP(D172&amp;F172&amp;H172,メニュー!$H$25:$I$26,2,0)),"")</f>
        <v/>
      </c>
      <c r="J172" s="7"/>
      <c r="K172" s="7"/>
      <c r="L172" s="7"/>
      <c r="M172" s="7"/>
    </row>
    <row r="173" spans="1:13" x14ac:dyDescent="0.2">
      <c r="A173" s="6" t="str">
        <f t="shared" si="2"/>
        <v/>
      </c>
      <c r="B173" s="3"/>
      <c r="C173" s="6" t="str">
        <f>IFERROR(VLOOKUP(B173,メニュー!$B$3:$C$12,2,FALSE),"")</f>
        <v/>
      </c>
      <c r="D173" s="3"/>
      <c r="E173" s="6" t="str">
        <f>IFERROR(VLOOKUP(D173,メニュー!$D$3:$E$4,2,FALSE),"")</f>
        <v/>
      </c>
      <c r="F173" s="3"/>
      <c r="G173" s="6"/>
      <c r="H173" s="3"/>
      <c r="I173" s="6" t="str">
        <f>IFERROR(IF(F173&lt;&gt;"通信機器購入なし",VLOOKUP(F173&amp;H173,メニュー!$H$30:$I$39,2,0),VLOOKUP(D173&amp;F173&amp;H173,メニュー!$H$25:$I$26,2,0)),"")</f>
        <v/>
      </c>
      <c r="J173" s="7"/>
      <c r="K173" s="7"/>
      <c r="L173" s="7"/>
      <c r="M173" s="7"/>
    </row>
    <row r="174" spans="1:13" x14ac:dyDescent="0.2">
      <c r="A174" s="6" t="str">
        <f t="shared" si="2"/>
        <v/>
      </c>
      <c r="B174" s="3"/>
      <c r="C174" s="6" t="str">
        <f>IFERROR(VLOOKUP(B174,メニュー!$B$3:$C$12,2,FALSE),"")</f>
        <v/>
      </c>
      <c r="D174" s="3"/>
      <c r="E174" s="6" t="str">
        <f>IFERROR(VLOOKUP(D174,メニュー!$D$3:$E$4,2,FALSE),"")</f>
        <v/>
      </c>
      <c r="F174" s="3"/>
      <c r="G174" s="6"/>
      <c r="H174" s="3"/>
      <c r="I174" s="6" t="str">
        <f>IFERROR(IF(F174&lt;&gt;"通信機器購入なし",VLOOKUP(F174&amp;H174,メニュー!$H$30:$I$39,2,0),VLOOKUP(D174&amp;F174&amp;H174,メニュー!$H$25:$I$26,2,0)),"")</f>
        <v/>
      </c>
      <c r="J174" s="7"/>
      <c r="K174" s="7"/>
      <c r="L174" s="7"/>
      <c r="M174" s="7"/>
    </row>
    <row r="175" spans="1:13" x14ac:dyDescent="0.2">
      <c r="A175" s="6" t="str">
        <f t="shared" si="2"/>
        <v/>
      </c>
      <c r="B175" s="3"/>
      <c r="C175" s="6" t="str">
        <f>IFERROR(VLOOKUP(B175,メニュー!$B$3:$C$12,2,FALSE),"")</f>
        <v/>
      </c>
      <c r="D175" s="3"/>
      <c r="E175" s="6" t="str">
        <f>IFERROR(VLOOKUP(D175,メニュー!$D$3:$E$4,2,FALSE),"")</f>
        <v/>
      </c>
      <c r="F175" s="3"/>
      <c r="G175" s="6"/>
      <c r="H175" s="3"/>
      <c r="I175" s="6" t="str">
        <f>IFERROR(IF(F175&lt;&gt;"通信機器購入なし",VLOOKUP(F175&amp;H175,メニュー!$H$30:$I$39,2,0),VLOOKUP(D175&amp;F175&amp;H175,メニュー!$H$25:$I$26,2,0)),"")</f>
        <v/>
      </c>
      <c r="J175" s="7"/>
      <c r="K175" s="7"/>
      <c r="L175" s="7"/>
      <c r="M175" s="7"/>
    </row>
    <row r="176" spans="1:13" x14ac:dyDescent="0.2">
      <c r="A176" s="6" t="str">
        <f t="shared" si="2"/>
        <v/>
      </c>
      <c r="B176" s="3"/>
      <c r="C176" s="6" t="str">
        <f>IFERROR(VLOOKUP(B176,メニュー!$B$3:$C$12,2,FALSE),"")</f>
        <v/>
      </c>
      <c r="D176" s="3"/>
      <c r="E176" s="6" t="str">
        <f>IFERROR(VLOOKUP(D176,メニュー!$D$3:$E$4,2,FALSE),"")</f>
        <v/>
      </c>
      <c r="F176" s="3"/>
      <c r="G176" s="6"/>
      <c r="H176" s="3"/>
      <c r="I176" s="6" t="str">
        <f>IFERROR(IF(F176&lt;&gt;"通信機器購入なし",VLOOKUP(F176&amp;H176,メニュー!$H$30:$I$39,2,0),VLOOKUP(D176&amp;F176&amp;H176,メニュー!$H$25:$I$26,2,0)),"")</f>
        <v/>
      </c>
      <c r="J176" s="7"/>
      <c r="K176" s="7"/>
      <c r="L176" s="7"/>
      <c r="M176" s="7"/>
    </row>
    <row r="177" spans="1:13" x14ac:dyDescent="0.2">
      <c r="A177" s="6" t="str">
        <f t="shared" si="2"/>
        <v/>
      </c>
      <c r="B177" s="3"/>
      <c r="C177" s="6" t="str">
        <f>IFERROR(VLOOKUP(B177,メニュー!$B$3:$C$12,2,FALSE),"")</f>
        <v/>
      </c>
      <c r="D177" s="3"/>
      <c r="E177" s="6" t="str">
        <f>IFERROR(VLOOKUP(D177,メニュー!$D$3:$E$4,2,FALSE),"")</f>
        <v/>
      </c>
      <c r="F177" s="3"/>
      <c r="G177" s="6"/>
      <c r="H177" s="3"/>
      <c r="I177" s="6" t="str">
        <f>IFERROR(IF(F177&lt;&gt;"通信機器購入なし",VLOOKUP(F177&amp;H177,メニュー!$H$30:$I$39,2,0),VLOOKUP(D177&amp;F177&amp;H177,メニュー!$H$25:$I$26,2,0)),"")</f>
        <v/>
      </c>
      <c r="J177" s="7"/>
      <c r="K177" s="7"/>
      <c r="L177" s="7"/>
      <c r="M177" s="7"/>
    </row>
    <row r="178" spans="1:13" x14ac:dyDescent="0.2">
      <c r="A178" s="6" t="str">
        <f t="shared" si="2"/>
        <v/>
      </c>
      <c r="B178" s="3"/>
      <c r="C178" s="6" t="str">
        <f>IFERROR(VLOOKUP(B178,メニュー!$B$3:$C$12,2,FALSE),"")</f>
        <v/>
      </c>
      <c r="D178" s="3"/>
      <c r="E178" s="6" t="str">
        <f>IFERROR(VLOOKUP(D178,メニュー!$D$3:$E$4,2,FALSE),"")</f>
        <v/>
      </c>
      <c r="F178" s="3"/>
      <c r="G178" s="6"/>
      <c r="H178" s="3"/>
      <c r="I178" s="6" t="str">
        <f>IFERROR(IF(F178&lt;&gt;"通信機器購入なし",VLOOKUP(F178&amp;H178,メニュー!$H$30:$I$39,2,0),VLOOKUP(D178&amp;F178&amp;H178,メニュー!$H$25:$I$26,2,0)),"")</f>
        <v/>
      </c>
      <c r="J178" s="7"/>
      <c r="K178" s="7"/>
      <c r="L178" s="7"/>
      <c r="M178" s="7"/>
    </row>
    <row r="179" spans="1:13" x14ac:dyDescent="0.2">
      <c r="A179" s="6" t="str">
        <f t="shared" si="2"/>
        <v/>
      </c>
      <c r="B179" s="3"/>
      <c r="C179" s="6" t="str">
        <f>IFERROR(VLOOKUP(B179,メニュー!$B$3:$C$12,2,FALSE),"")</f>
        <v/>
      </c>
      <c r="D179" s="3"/>
      <c r="E179" s="6" t="str">
        <f>IFERROR(VLOOKUP(D179,メニュー!$D$3:$E$4,2,FALSE),"")</f>
        <v/>
      </c>
      <c r="F179" s="3"/>
      <c r="G179" s="6"/>
      <c r="H179" s="3"/>
      <c r="I179" s="6" t="str">
        <f>IFERROR(IF(F179&lt;&gt;"通信機器購入なし",VLOOKUP(F179&amp;H179,メニュー!$H$30:$I$39,2,0),VLOOKUP(D179&amp;F179&amp;H179,メニュー!$H$25:$I$26,2,0)),"")</f>
        <v/>
      </c>
      <c r="J179" s="7"/>
      <c r="K179" s="7"/>
      <c r="L179" s="7"/>
      <c r="M179" s="7"/>
    </row>
    <row r="180" spans="1:13" x14ac:dyDescent="0.2">
      <c r="A180" s="6" t="str">
        <f t="shared" si="2"/>
        <v/>
      </c>
      <c r="B180" s="3"/>
      <c r="C180" s="6" t="str">
        <f>IFERROR(VLOOKUP(B180,メニュー!$B$3:$C$12,2,FALSE),"")</f>
        <v/>
      </c>
      <c r="D180" s="3"/>
      <c r="E180" s="6" t="str">
        <f>IFERROR(VLOOKUP(D180,メニュー!$D$3:$E$4,2,FALSE),"")</f>
        <v/>
      </c>
      <c r="F180" s="3"/>
      <c r="G180" s="6"/>
      <c r="H180" s="3"/>
      <c r="I180" s="6" t="str">
        <f>IFERROR(IF(F180&lt;&gt;"通信機器購入なし",VLOOKUP(F180&amp;H180,メニュー!$H$30:$I$39,2,0),VLOOKUP(D180&amp;F180&amp;H180,メニュー!$H$25:$I$26,2,0)),"")</f>
        <v/>
      </c>
      <c r="J180" s="7"/>
      <c r="K180" s="7"/>
      <c r="L180" s="7"/>
      <c r="M180" s="7"/>
    </row>
    <row r="181" spans="1:13" x14ac:dyDescent="0.2">
      <c r="A181" s="6" t="str">
        <f t="shared" si="2"/>
        <v/>
      </c>
      <c r="B181" s="3"/>
      <c r="C181" s="6" t="str">
        <f>IFERROR(VLOOKUP(B181,メニュー!$B$3:$C$12,2,FALSE),"")</f>
        <v/>
      </c>
      <c r="D181" s="3"/>
      <c r="E181" s="6" t="str">
        <f>IFERROR(VLOOKUP(D181,メニュー!$D$3:$E$4,2,FALSE),"")</f>
        <v/>
      </c>
      <c r="F181" s="3"/>
      <c r="G181" s="6"/>
      <c r="H181" s="3"/>
      <c r="I181" s="6" t="str">
        <f>IFERROR(IF(F181&lt;&gt;"通信機器購入なし",VLOOKUP(F181&amp;H181,メニュー!$H$30:$I$39,2,0),VLOOKUP(D181&amp;F181&amp;H181,メニュー!$H$25:$I$26,2,0)),"")</f>
        <v/>
      </c>
      <c r="J181" s="7"/>
      <c r="K181" s="7"/>
      <c r="L181" s="7"/>
      <c r="M181" s="7"/>
    </row>
    <row r="182" spans="1:13" x14ac:dyDescent="0.2">
      <c r="A182" s="6" t="str">
        <f t="shared" si="2"/>
        <v/>
      </c>
      <c r="B182" s="3"/>
      <c r="C182" s="6" t="str">
        <f>IFERROR(VLOOKUP(B182,メニュー!$B$3:$C$12,2,FALSE),"")</f>
        <v/>
      </c>
      <c r="D182" s="3"/>
      <c r="E182" s="6" t="str">
        <f>IFERROR(VLOOKUP(D182,メニュー!$D$3:$E$4,2,FALSE),"")</f>
        <v/>
      </c>
      <c r="F182" s="3"/>
      <c r="G182" s="6"/>
      <c r="H182" s="3"/>
      <c r="I182" s="6" t="str">
        <f>IFERROR(IF(F182&lt;&gt;"通信機器購入なし",VLOOKUP(F182&amp;H182,メニュー!$H$30:$I$39,2,0),VLOOKUP(D182&amp;F182&amp;H182,メニュー!$H$25:$I$26,2,0)),"")</f>
        <v/>
      </c>
      <c r="J182" s="7"/>
      <c r="K182" s="7"/>
      <c r="L182" s="7"/>
      <c r="M182" s="7"/>
    </row>
    <row r="183" spans="1:13" x14ac:dyDescent="0.2">
      <c r="A183" s="6" t="str">
        <f t="shared" si="2"/>
        <v/>
      </c>
      <c r="B183" s="3"/>
      <c r="C183" s="6" t="str">
        <f>IFERROR(VLOOKUP(B183,メニュー!$B$3:$C$12,2,FALSE),"")</f>
        <v/>
      </c>
      <c r="D183" s="3"/>
      <c r="E183" s="6" t="str">
        <f>IFERROR(VLOOKUP(D183,メニュー!$D$3:$E$4,2,FALSE),"")</f>
        <v/>
      </c>
      <c r="F183" s="3"/>
      <c r="G183" s="6"/>
      <c r="H183" s="3"/>
      <c r="I183" s="6" t="str">
        <f>IFERROR(IF(F183&lt;&gt;"通信機器購入なし",VLOOKUP(F183&amp;H183,メニュー!$H$30:$I$39,2,0),VLOOKUP(D183&amp;F183&amp;H183,メニュー!$H$25:$I$26,2,0)),"")</f>
        <v/>
      </c>
      <c r="J183" s="7"/>
      <c r="K183" s="7"/>
      <c r="L183" s="7"/>
      <c r="M183" s="7"/>
    </row>
    <row r="184" spans="1:13" x14ac:dyDescent="0.2">
      <c r="A184" s="6" t="str">
        <f t="shared" si="2"/>
        <v/>
      </c>
      <c r="B184" s="3"/>
      <c r="C184" s="6" t="str">
        <f>IFERROR(VLOOKUP(B184,メニュー!$B$3:$C$12,2,FALSE),"")</f>
        <v/>
      </c>
      <c r="D184" s="3"/>
      <c r="E184" s="6" t="str">
        <f>IFERROR(VLOOKUP(D184,メニュー!$D$3:$E$4,2,FALSE),"")</f>
        <v/>
      </c>
      <c r="F184" s="3"/>
      <c r="G184" s="6"/>
      <c r="H184" s="3"/>
      <c r="I184" s="6" t="str">
        <f>IFERROR(IF(F184&lt;&gt;"通信機器購入なし",VLOOKUP(F184&amp;H184,メニュー!$H$30:$I$39,2,0),VLOOKUP(D184&amp;F184&amp;H184,メニュー!$H$25:$I$26,2,0)),"")</f>
        <v/>
      </c>
      <c r="J184" s="7"/>
      <c r="K184" s="7"/>
      <c r="L184" s="7"/>
      <c r="M184" s="7"/>
    </row>
    <row r="185" spans="1:13" x14ac:dyDescent="0.2">
      <c r="A185" s="6" t="str">
        <f t="shared" si="2"/>
        <v/>
      </c>
      <c r="B185" s="3"/>
      <c r="C185" s="6" t="str">
        <f>IFERROR(VLOOKUP(B185,メニュー!$B$3:$C$12,2,FALSE),"")</f>
        <v/>
      </c>
      <c r="D185" s="3"/>
      <c r="E185" s="6" t="str">
        <f>IFERROR(VLOOKUP(D185,メニュー!$D$3:$E$4,2,FALSE),"")</f>
        <v/>
      </c>
      <c r="F185" s="3"/>
      <c r="G185" s="6"/>
      <c r="H185" s="3"/>
      <c r="I185" s="6" t="str">
        <f>IFERROR(IF(F185&lt;&gt;"通信機器購入なし",VLOOKUP(F185&amp;H185,メニュー!$H$30:$I$39,2,0),VLOOKUP(D185&amp;F185&amp;H185,メニュー!$H$25:$I$26,2,0)),"")</f>
        <v/>
      </c>
      <c r="J185" s="7"/>
      <c r="K185" s="7"/>
      <c r="L185" s="7"/>
      <c r="M185" s="7"/>
    </row>
    <row r="186" spans="1:13" x14ac:dyDescent="0.2">
      <c r="A186" s="6" t="str">
        <f t="shared" si="2"/>
        <v/>
      </c>
      <c r="B186" s="3"/>
      <c r="C186" s="6" t="str">
        <f>IFERROR(VLOOKUP(B186,メニュー!$B$3:$C$12,2,FALSE),"")</f>
        <v/>
      </c>
      <c r="D186" s="3"/>
      <c r="E186" s="6" t="str">
        <f>IFERROR(VLOOKUP(D186,メニュー!$D$3:$E$4,2,FALSE),"")</f>
        <v/>
      </c>
      <c r="F186" s="3"/>
      <c r="G186" s="6"/>
      <c r="H186" s="3"/>
      <c r="I186" s="6" t="str">
        <f>IFERROR(IF(F186&lt;&gt;"通信機器購入なし",VLOOKUP(F186&amp;H186,メニュー!$H$30:$I$39,2,0),VLOOKUP(D186&amp;F186&amp;H186,メニュー!$H$25:$I$26,2,0)),"")</f>
        <v/>
      </c>
      <c r="J186" s="7"/>
      <c r="K186" s="7"/>
      <c r="L186" s="7"/>
      <c r="M186" s="7"/>
    </row>
    <row r="187" spans="1:13" x14ac:dyDescent="0.2">
      <c r="A187" s="6" t="str">
        <f t="shared" si="2"/>
        <v/>
      </c>
      <c r="B187" s="3"/>
      <c r="C187" s="6" t="str">
        <f>IFERROR(VLOOKUP(B187,メニュー!$B$3:$C$12,2,FALSE),"")</f>
        <v/>
      </c>
      <c r="D187" s="3"/>
      <c r="E187" s="6" t="str">
        <f>IFERROR(VLOOKUP(D187,メニュー!$D$3:$E$4,2,FALSE),"")</f>
        <v/>
      </c>
      <c r="F187" s="3"/>
      <c r="G187" s="6"/>
      <c r="H187" s="3"/>
      <c r="I187" s="6" t="str">
        <f>IFERROR(IF(F187&lt;&gt;"通信機器購入なし",VLOOKUP(F187&amp;H187,メニュー!$H$30:$I$39,2,0),VLOOKUP(D187&amp;F187&amp;H187,メニュー!$H$25:$I$26,2,0)),"")</f>
        <v/>
      </c>
      <c r="J187" s="7"/>
      <c r="K187" s="7"/>
      <c r="L187" s="7"/>
      <c r="M187" s="7"/>
    </row>
    <row r="188" spans="1:13" x14ac:dyDescent="0.2">
      <c r="A188" s="6" t="str">
        <f t="shared" si="2"/>
        <v/>
      </c>
      <c r="B188" s="3"/>
      <c r="C188" s="6" t="str">
        <f>IFERROR(VLOOKUP(B188,メニュー!$B$3:$C$12,2,FALSE),"")</f>
        <v/>
      </c>
      <c r="D188" s="3"/>
      <c r="E188" s="6" t="str">
        <f>IFERROR(VLOOKUP(D188,メニュー!$D$3:$E$4,2,FALSE),"")</f>
        <v/>
      </c>
      <c r="F188" s="3"/>
      <c r="G188" s="6"/>
      <c r="H188" s="3"/>
      <c r="I188" s="6" t="str">
        <f>IFERROR(IF(F188&lt;&gt;"通信機器購入なし",VLOOKUP(F188&amp;H188,メニュー!$H$30:$I$39,2,0),VLOOKUP(D188&amp;F188&amp;H188,メニュー!$H$25:$I$26,2,0)),"")</f>
        <v/>
      </c>
      <c r="J188" s="7"/>
      <c r="K188" s="7"/>
      <c r="L188" s="7"/>
      <c r="M188" s="7"/>
    </row>
    <row r="189" spans="1:13" x14ac:dyDescent="0.2">
      <c r="A189" s="6" t="str">
        <f t="shared" si="2"/>
        <v/>
      </c>
      <c r="B189" s="3"/>
      <c r="C189" s="6" t="str">
        <f>IFERROR(VLOOKUP(B189,メニュー!$B$3:$C$12,2,FALSE),"")</f>
        <v/>
      </c>
      <c r="D189" s="3"/>
      <c r="E189" s="6" t="str">
        <f>IFERROR(VLOOKUP(D189,メニュー!$D$3:$E$4,2,FALSE),"")</f>
        <v/>
      </c>
      <c r="F189" s="3"/>
      <c r="G189" s="6"/>
      <c r="H189" s="3"/>
      <c r="I189" s="6" t="str">
        <f>IFERROR(IF(F189&lt;&gt;"通信機器購入なし",VLOOKUP(F189&amp;H189,メニュー!$H$30:$I$39,2,0),VLOOKUP(D189&amp;F189&amp;H189,メニュー!$H$25:$I$26,2,0)),"")</f>
        <v/>
      </c>
      <c r="J189" s="7"/>
      <c r="K189" s="7"/>
      <c r="L189" s="7"/>
      <c r="M189" s="7"/>
    </row>
    <row r="190" spans="1:13" x14ac:dyDescent="0.2">
      <c r="A190" s="6" t="str">
        <f t="shared" si="2"/>
        <v/>
      </c>
      <c r="B190" s="3"/>
      <c r="C190" s="6" t="str">
        <f>IFERROR(VLOOKUP(B190,メニュー!$B$3:$C$12,2,FALSE),"")</f>
        <v/>
      </c>
      <c r="D190" s="3"/>
      <c r="E190" s="6" t="str">
        <f>IFERROR(VLOOKUP(D190,メニュー!$D$3:$E$4,2,FALSE),"")</f>
        <v/>
      </c>
      <c r="F190" s="3"/>
      <c r="G190" s="6"/>
      <c r="H190" s="3"/>
      <c r="I190" s="6" t="str">
        <f>IFERROR(IF(F190&lt;&gt;"通信機器購入なし",VLOOKUP(F190&amp;H190,メニュー!$H$30:$I$39,2,0),VLOOKUP(D190&amp;F190&amp;H190,メニュー!$H$25:$I$26,2,0)),"")</f>
        <v/>
      </c>
      <c r="J190" s="7"/>
      <c r="K190" s="7"/>
      <c r="L190" s="7"/>
      <c r="M190" s="7"/>
    </row>
    <row r="191" spans="1:13" x14ac:dyDescent="0.2">
      <c r="A191" s="6" t="str">
        <f t="shared" si="2"/>
        <v/>
      </c>
      <c r="B191" s="3"/>
      <c r="C191" s="6" t="str">
        <f>IFERROR(VLOOKUP(B191,メニュー!$B$3:$C$12,2,FALSE),"")</f>
        <v/>
      </c>
      <c r="D191" s="3"/>
      <c r="E191" s="6" t="str">
        <f>IFERROR(VLOOKUP(D191,メニュー!$D$3:$E$4,2,FALSE),"")</f>
        <v/>
      </c>
      <c r="F191" s="3"/>
      <c r="G191" s="6"/>
      <c r="H191" s="3"/>
      <c r="I191" s="6" t="str">
        <f>IFERROR(IF(F191&lt;&gt;"通信機器購入なし",VLOOKUP(F191&amp;H191,メニュー!$H$30:$I$39,2,0),VLOOKUP(D191&amp;F191&amp;H191,メニュー!$H$25:$I$26,2,0)),"")</f>
        <v/>
      </c>
      <c r="J191" s="7"/>
      <c r="K191" s="7"/>
      <c r="L191" s="7"/>
      <c r="M191" s="7"/>
    </row>
    <row r="192" spans="1:13" x14ac:dyDescent="0.2">
      <c r="A192" s="6" t="str">
        <f t="shared" si="2"/>
        <v/>
      </c>
      <c r="B192" s="3"/>
      <c r="C192" s="6" t="str">
        <f>IFERROR(VLOOKUP(B192,メニュー!$B$3:$C$12,2,FALSE),"")</f>
        <v/>
      </c>
      <c r="D192" s="3"/>
      <c r="E192" s="6" t="str">
        <f>IFERROR(VLOOKUP(D192,メニュー!$D$3:$E$4,2,FALSE),"")</f>
        <v/>
      </c>
      <c r="F192" s="3"/>
      <c r="G192" s="6"/>
      <c r="H192" s="3"/>
      <c r="I192" s="6" t="str">
        <f>IFERROR(IF(F192&lt;&gt;"通信機器購入なし",VLOOKUP(F192&amp;H192,メニュー!$H$30:$I$39,2,0),VLOOKUP(D192&amp;F192&amp;H192,メニュー!$H$25:$I$26,2,0)),"")</f>
        <v/>
      </c>
      <c r="J192" s="7"/>
      <c r="K192" s="7"/>
      <c r="L192" s="7"/>
      <c r="M192" s="7"/>
    </row>
    <row r="193" spans="1:13" x14ac:dyDescent="0.2">
      <c r="A193" s="6" t="str">
        <f t="shared" si="2"/>
        <v/>
      </c>
      <c r="B193" s="3"/>
      <c r="C193" s="6" t="str">
        <f>IFERROR(VLOOKUP(B193,メニュー!$B$3:$C$12,2,FALSE),"")</f>
        <v/>
      </c>
      <c r="D193" s="3"/>
      <c r="E193" s="6" t="str">
        <f>IFERROR(VLOOKUP(D193,メニュー!$D$3:$E$4,2,FALSE),"")</f>
        <v/>
      </c>
      <c r="F193" s="3"/>
      <c r="G193" s="6"/>
      <c r="H193" s="3"/>
      <c r="I193" s="6" t="str">
        <f>IFERROR(IF(F193&lt;&gt;"通信機器購入なし",VLOOKUP(F193&amp;H193,メニュー!$H$30:$I$39,2,0),VLOOKUP(D193&amp;F193&amp;H193,メニュー!$H$25:$I$26,2,0)),"")</f>
        <v/>
      </c>
      <c r="J193" s="7"/>
      <c r="K193" s="7"/>
      <c r="L193" s="7"/>
      <c r="M193" s="7"/>
    </row>
    <row r="194" spans="1:13" x14ac:dyDescent="0.2">
      <c r="A194" s="6" t="str">
        <f t="shared" si="2"/>
        <v/>
      </c>
      <c r="B194" s="3"/>
      <c r="C194" s="6" t="str">
        <f>IFERROR(VLOOKUP(B194,メニュー!$B$3:$C$12,2,FALSE),"")</f>
        <v/>
      </c>
      <c r="D194" s="3"/>
      <c r="E194" s="6" t="str">
        <f>IFERROR(VLOOKUP(D194,メニュー!$D$3:$E$4,2,FALSE),"")</f>
        <v/>
      </c>
      <c r="F194" s="3"/>
      <c r="G194" s="6"/>
      <c r="H194" s="3"/>
      <c r="I194" s="6" t="str">
        <f>IFERROR(IF(F194&lt;&gt;"通信機器購入なし",VLOOKUP(F194&amp;H194,メニュー!$H$30:$I$39,2,0),VLOOKUP(D194&amp;F194&amp;H194,メニュー!$H$25:$I$26,2,0)),"")</f>
        <v/>
      </c>
      <c r="J194" s="7"/>
      <c r="K194" s="7"/>
      <c r="L194" s="7"/>
      <c r="M194" s="7"/>
    </row>
    <row r="195" spans="1:13" x14ac:dyDescent="0.2">
      <c r="A195" s="6" t="str">
        <f t="shared" si="2"/>
        <v/>
      </c>
      <c r="B195" s="3"/>
      <c r="C195" s="6" t="str">
        <f>IFERROR(VLOOKUP(B195,メニュー!$B$3:$C$12,2,FALSE),"")</f>
        <v/>
      </c>
      <c r="D195" s="3"/>
      <c r="E195" s="6" t="str">
        <f>IFERROR(VLOOKUP(D195,メニュー!$D$3:$E$4,2,FALSE),"")</f>
        <v/>
      </c>
      <c r="F195" s="3"/>
      <c r="G195" s="6"/>
      <c r="H195" s="3"/>
      <c r="I195" s="6" t="str">
        <f>IFERROR(IF(F195&lt;&gt;"通信機器購入なし",VLOOKUP(F195&amp;H195,メニュー!$H$30:$I$39,2,0),VLOOKUP(D195&amp;F195&amp;H195,メニュー!$H$25:$I$26,2,0)),"")</f>
        <v/>
      </c>
      <c r="J195" s="7"/>
      <c r="K195" s="7"/>
      <c r="L195" s="7"/>
      <c r="M195" s="7"/>
    </row>
    <row r="196" spans="1:13" x14ac:dyDescent="0.2">
      <c r="A196" s="6" t="str">
        <f t="shared" ref="A196:A255" si="3">IF(B196="","",ROW()-1)</f>
        <v/>
      </c>
      <c r="B196" s="3"/>
      <c r="C196" s="6" t="str">
        <f>IFERROR(VLOOKUP(B196,メニュー!$B$3:$C$12,2,FALSE),"")</f>
        <v/>
      </c>
      <c r="D196" s="3"/>
      <c r="E196" s="6" t="str">
        <f>IFERROR(VLOOKUP(D196,メニュー!$D$3:$E$4,2,FALSE),"")</f>
        <v/>
      </c>
      <c r="F196" s="3"/>
      <c r="G196" s="6"/>
      <c r="H196" s="3"/>
      <c r="I196" s="6" t="str">
        <f>IFERROR(IF(F196&lt;&gt;"通信機器購入なし",VLOOKUP(F196&amp;H196,メニュー!$H$30:$I$39,2,0),VLOOKUP(D196&amp;F196&amp;H196,メニュー!$H$25:$I$26,2,0)),"")</f>
        <v/>
      </c>
      <c r="J196" s="7"/>
      <c r="K196" s="7"/>
      <c r="L196" s="7"/>
      <c r="M196" s="7"/>
    </row>
    <row r="197" spans="1:13" x14ac:dyDescent="0.2">
      <c r="A197" s="6" t="str">
        <f t="shared" si="3"/>
        <v/>
      </c>
      <c r="B197" s="3"/>
      <c r="C197" s="6" t="str">
        <f>IFERROR(VLOOKUP(B197,メニュー!$B$3:$C$12,2,FALSE),"")</f>
        <v/>
      </c>
      <c r="D197" s="3"/>
      <c r="E197" s="6" t="str">
        <f>IFERROR(VLOOKUP(D197,メニュー!$D$3:$E$4,2,FALSE),"")</f>
        <v/>
      </c>
      <c r="F197" s="3"/>
      <c r="G197" s="6"/>
      <c r="H197" s="3"/>
      <c r="I197" s="6" t="str">
        <f>IFERROR(IF(F197&lt;&gt;"通信機器購入なし",VLOOKUP(F197&amp;H197,メニュー!$H$30:$I$39,2,0),VLOOKUP(D197&amp;F197&amp;H197,メニュー!$H$25:$I$26,2,0)),"")</f>
        <v/>
      </c>
      <c r="J197" s="7"/>
      <c r="K197" s="7"/>
      <c r="L197" s="7"/>
      <c r="M197" s="7"/>
    </row>
    <row r="198" spans="1:13" x14ac:dyDescent="0.2">
      <c r="A198" s="6" t="str">
        <f t="shared" si="3"/>
        <v/>
      </c>
      <c r="B198" s="3"/>
      <c r="C198" s="6" t="str">
        <f>IFERROR(VLOOKUP(B198,メニュー!$B$3:$C$12,2,FALSE),"")</f>
        <v/>
      </c>
      <c r="D198" s="3"/>
      <c r="E198" s="6" t="str">
        <f>IFERROR(VLOOKUP(D198,メニュー!$D$3:$E$4,2,FALSE),"")</f>
        <v/>
      </c>
      <c r="F198" s="3"/>
      <c r="G198" s="6"/>
      <c r="H198" s="3"/>
      <c r="I198" s="6" t="str">
        <f>IFERROR(IF(F198&lt;&gt;"通信機器購入なし",VLOOKUP(F198&amp;H198,メニュー!$H$30:$I$39,2,0),VLOOKUP(D198&amp;F198&amp;H198,メニュー!$H$25:$I$26,2,0)),"")</f>
        <v/>
      </c>
      <c r="J198" s="7"/>
      <c r="K198" s="7"/>
      <c r="L198" s="7"/>
      <c r="M198" s="7"/>
    </row>
    <row r="199" spans="1:13" x14ac:dyDescent="0.2">
      <c r="A199" s="6" t="str">
        <f t="shared" si="3"/>
        <v/>
      </c>
      <c r="B199" s="3"/>
      <c r="C199" s="6" t="str">
        <f>IFERROR(VLOOKUP(B199,メニュー!$B$3:$C$12,2,FALSE),"")</f>
        <v/>
      </c>
      <c r="D199" s="3"/>
      <c r="E199" s="6" t="str">
        <f>IFERROR(VLOOKUP(D199,メニュー!$D$3:$E$4,2,FALSE),"")</f>
        <v/>
      </c>
      <c r="F199" s="3"/>
      <c r="G199" s="6"/>
      <c r="H199" s="3"/>
      <c r="I199" s="6" t="str">
        <f>IFERROR(IF(F199&lt;&gt;"通信機器購入なし",VLOOKUP(F199&amp;H199,メニュー!$H$30:$I$39,2,0),VLOOKUP(D199&amp;F199&amp;H199,メニュー!$H$25:$I$26,2,0)),"")</f>
        <v/>
      </c>
      <c r="J199" s="7"/>
      <c r="K199" s="7"/>
      <c r="L199" s="7"/>
      <c r="M199" s="7"/>
    </row>
    <row r="200" spans="1:13" x14ac:dyDescent="0.2">
      <c r="A200" s="6" t="str">
        <f t="shared" si="3"/>
        <v/>
      </c>
      <c r="B200" s="3"/>
      <c r="C200" s="6" t="str">
        <f>IFERROR(VLOOKUP(B200,メニュー!$B$3:$C$12,2,FALSE),"")</f>
        <v/>
      </c>
      <c r="D200" s="3"/>
      <c r="E200" s="6" t="str">
        <f>IFERROR(VLOOKUP(D200,メニュー!$D$3:$E$4,2,FALSE),"")</f>
        <v/>
      </c>
      <c r="F200" s="3"/>
      <c r="G200" s="6"/>
      <c r="H200" s="3"/>
      <c r="I200" s="6" t="str">
        <f>IFERROR(IF(F200&lt;&gt;"通信機器購入なし",VLOOKUP(F200&amp;H200,メニュー!$H$30:$I$39,2,0),VLOOKUP(D200&amp;F200&amp;H200,メニュー!$H$25:$I$26,2,0)),"")</f>
        <v/>
      </c>
      <c r="J200" s="7"/>
      <c r="K200" s="7"/>
      <c r="L200" s="7"/>
      <c r="M200" s="7"/>
    </row>
    <row r="201" spans="1:13" x14ac:dyDescent="0.2">
      <c r="A201" s="6" t="str">
        <f t="shared" si="3"/>
        <v/>
      </c>
      <c r="B201" s="3"/>
      <c r="C201" s="6" t="str">
        <f>IFERROR(VLOOKUP(B201,メニュー!$B$3:$C$12,2,FALSE),"")</f>
        <v/>
      </c>
      <c r="D201" s="3"/>
      <c r="E201" s="6" t="str">
        <f>IFERROR(VLOOKUP(D201,メニュー!$D$3:$E$4,2,FALSE),"")</f>
        <v/>
      </c>
      <c r="F201" s="3"/>
      <c r="G201" s="6"/>
      <c r="H201" s="3"/>
      <c r="I201" s="6" t="str">
        <f>IFERROR(IF(F201&lt;&gt;"通信機器購入なし",VLOOKUP(F201&amp;H201,メニュー!$H$30:$I$39,2,0),VLOOKUP(D201&amp;F201&amp;H201,メニュー!$H$25:$I$26,2,0)),"")</f>
        <v/>
      </c>
      <c r="J201" s="7"/>
      <c r="K201" s="7"/>
      <c r="L201" s="7"/>
      <c r="M201" s="7"/>
    </row>
    <row r="202" spans="1:13" x14ac:dyDescent="0.2">
      <c r="A202" s="6" t="str">
        <f t="shared" si="3"/>
        <v/>
      </c>
      <c r="B202" s="3"/>
      <c r="C202" s="6" t="str">
        <f>IFERROR(VLOOKUP(B202,メニュー!$B$3:$C$12,2,FALSE),"")</f>
        <v/>
      </c>
      <c r="D202" s="3"/>
      <c r="E202" s="6" t="str">
        <f>IFERROR(VLOOKUP(D202,メニュー!$D$3:$E$4,2,FALSE),"")</f>
        <v/>
      </c>
      <c r="F202" s="3"/>
      <c r="G202" s="6"/>
      <c r="H202" s="3"/>
      <c r="I202" s="6" t="str">
        <f>IFERROR(IF(F202&lt;&gt;"通信機器購入なし",VLOOKUP(F202&amp;H202,メニュー!$H$30:$I$39,2,0),VLOOKUP(D202&amp;F202&amp;H202,メニュー!$H$25:$I$26,2,0)),"")</f>
        <v/>
      </c>
      <c r="J202" s="7"/>
      <c r="K202" s="7"/>
      <c r="L202" s="7"/>
      <c r="M202" s="7"/>
    </row>
    <row r="203" spans="1:13" x14ac:dyDescent="0.2">
      <c r="A203" s="6" t="str">
        <f t="shared" si="3"/>
        <v/>
      </c>
      <c r="B203" s="3"/>
      <c r="C203" s="6" t="str">
        <f>IFERROR(VLOOKUP(B203,メニュー!$B$3:$C$12,2,FALSE),"")</f>
        <v/>
      </c>
      <c r="D203" s="3"/>
      <c r="E203" s="6" t="str">
        <f>IFERROR(VLOOKUP(D203,メニュー!$D$3:$E$4,2,FALSE),"")</f>
        <v/>
      </c>
      <c r="F203" s="3"/>
      <c r="G203" s="6"/>
      <c r="H203" s="3"/>
      <c r="I203" s="6" t="str">
        <f>IFERROR(IF(F203&lt;&gt;"通信機器購入なし",VLOOKUP(F203&amp;H203,メニュー!$H$30:$I$39,2,0),VLOOKUP(D203&amp;F203&amp;H203,メニュー!$H$25:$I$26,2,0)),"")</f>
        <v/>
      </c>
      <c r="J203" s="7"/>
      <c r="K203" s="7"/>
      <c r="L203" s="7"/>
      <c r="M203" s="7"/>
    </row>
    <row r="204" spans="1:13" x14ac:dyDescent="0.2">
      <c r="A204" s="6" t="str">
        <f t="shared" si="3"/>
        <v/>
      </c>
      <c r="B204" s="3"/>
      <c r="C204" s="6" t="str">
        <f>IFERROR(VLOOKUP(B204,メニュー!$B$3:$C$12,2,FALSE),"")</f>
        <v/>
      </c>
      <c r="D204" s="3"/>
      <c r="E204" s="6" t="str">
        <f>IFERROR(VLOOKUP(D204,メニュー!$D$3:$E$4,2,FALSE),"")</f>
        <v/>
      </c>
      <c r="F204" s="3"/>
      <c r="G204" s="6"/>
      <c r="H204" s="3"/>
      <c r="I204" s="6" t="str">
        <f>IFERROR(IF(F204&lt;&gt;"通信機器購入なし",VLOOKUP(F204&amp;H204,メニュー!$H$30:$I$39,2,0),VLOOKUP(D204&amp;F204&amp;H204,メニュー!$H$25:$I$26,2,0)),"")</f>
        <v/>
      </c>
      <c r="J204" s="7"/>
      <c r="K204" s="7"/>
      <c r="L204" s="7"/>
      <c r="M204" s="7"/>
    </row>
    <row r="205" spans="1:13" x14ac:dyDescent="0.2">
      <c r="A205" s="6" t="str">
        <f t="shared" si="3"/>
        <v/>
      </c>
      <c r="B205" s="3"/>
      <c r="C205" s="6" t="str">
        <f>IFERROR(VLOOKUP(B205,メニュー!$B$3:$C$12,2,FALSE),"")</f>
        <v/>
      </c>
      <c r="D205" s="3"/>
      <c r="E205" s="6" t="str">
        <f>IFERROR(VLOOKUP(D205,メニュー!$D$3:$E$4,2,FALSE),"")</f>
        <v/>
      </c>
      <c r="F205" s="3"/>
      <c r="G205" s="6"/>
      <c r="H205" s="3"/>
      <c r="I205" s="6" t="str">
        <f>IFERROR(IF(F205&lt;&gt;"通信機器購入なし",VLOOKUP(F205&amp;H205,メニュー!$H$30:$I$39,2,0),VLOOKUP(D205&amp;F205&amp;H205,メニュー!$H$25:$I$26,2,0)),"")</f>
        <v/>
      </c>
      <c r="J205" s="7"/>
      <c r="K205" s="7"/>
      <c r="L205" s="7"/>
      <c r="M205" s="7"/>
    </row>
    <row r="206" spans="1:13" x14ac:dyDescent="0.2">
      <c r="A206" s="6" t="str">
        <f t="shared" si="3"/>
        <v/>
      </c>
      <c r="B206" s="3"/>
      <c r="C206" s="6" t="str">
        <f>IFERROR(VLOOKUP(B206,メニュー!$B$3:$C$12,2,FALSE),"")</f>
        <v/>
      </c>
      <c r="D206" s="3"/>
      <c r="E206" s="6" t="str">
        <f>IFERROR(VLOOKUP(D206,メニュー!$D$3:$E$4,2,FALSE),"")</f>
        <v/>
      </c>
      <c r="F206" s="3"/>
      <c r="G206" s="6"/>
      <c r="H206" s="3"/>
      <c r="I206" s="6" t="str">
        <f>IFERROR(IF(F206&lt;&gt;"通信機器購入なし",VLOOKUP(F206&amp;H206,メニュー!$H$30:$I$39,2,0),VLOOKUP(D206&amp;F206&amp;H206,メニュー!$H$25:$I$26,2,0)),"")</f>
        <v/>
      </c>
      <c r="J206" s="7"/>
      <c r="K206" s="7"/>
      <c r="L206" s="7"/>
      <c r="M206" s="7"/>
    </row>
    <row r="207" spans="1:13" x14ac:dyDescent="0.2">
      <c r="A207" s="6" t="str">
        <f t="shared" si="3"/>
        <v/>
      </c>
      <c r="B207" s="3"/>
      <c r="C207" s="6" t="str">
        <f>IFERROR(VLOOKUP(B207,メニュー!$B$3:$C$12,2,FALSE),"")</f>
        <v/>
      </c>
      <c r="D207" s="3"/>
      <c r="E207" s="6" t="str">
        <f>IFERROR(VLOOKUP(D207,メニュー!$D$3:$E$4,2,FALSE),"")</f>
        <v/>
      </c>
      <c r="F207" s="3"/>
      <c r="G207" s="6"/>
      <c r="H207" s="3"/>
      <c r="I207" s="6" t="str">
        <f>IFERROR(IF(F207&lt;&gt;"通信機器購入なし",VLOOKUP(F207&amp;H207,メニュー!$H$30:$I$39,2,0),VLOOKUP(D207&amp;F207&amp;H207,メニュー!$H$25:$I$26,2,0)),"")</f>
        <v/>
      </c>
      <c r="J207" s="7"/>
      <c r="K207" s="7"/>
      <c r="L207" s="7"/>
      <c r="M207" s="7"/>
    </row>
    <row r="208" spans="1:13" x14ac:dyDescent="0.2">
      <c r="A208" s="6" t="str">
        <f t="shared" si="3"/>
        <v/>
      </c>
      <c r="B208" s="3"/>
      <c r="C208" s="6" t="str">
        <f>IFERROR(VLOOKUP(B208,メニュー!$B$3:$C$12,2,FALSE),"")</f>
        <v/>
      </c>
      <c r="D208" s="3"/>
      <c r="E208" s="6" t="str">
        <f>IFERROR(VLOOKUP(D208,メニュー!$D$3:$E$4,2,FALSE),"")</f>
        <v/>
      </c>
      <c r="F208" s="3"/>
      <c r="G208" s="6"/>
      <c r="H208" s="3"/>
      <c r="I208" s="6" t="str">
        <f>IFERROR(IF(F208&lt;&gt;"通信機器購入なし",VLOOKUP(F208&amp;H208,メニュー!$H$30:$I$39,2,0),VLOOKUP(D208&amp;F208&amp;H208,メニュー!$H$25:$I$26,2,0)),"")</f>
        <v/>
      </c>
      <c r="J208" s="7"/>
      <c r="K208" s="7"/>
      <c r="L208" s="7"/>
      <c r="M208" s="7"/>
    </row>
    <row r="209" spans="1:13" x14ac:dyDescent="0.2">
      <c r="A209" s="6" t="str">
        <f t="shared" si="3"/>
        <v/>
      </c>
      <c r="B209" s="3"/>
      <c r="C209" s="6" t="str">
        <f>IFERROR(VLOOKUP(B209,メニュー!$B$3:$C$12,2,FALSE),"")</f>
        <v/>
      </c>
      <c r="D209" s="3"/>
      <c r="E209" s="6" t="str">
        <f>IFERROR(VLOOKUP(D209,メニュー!$D$3:$E$4,2,FALSE),"")</f>
        <v/>
      </c>
      <c r="F209" s="3"/>
      <c r="G209" s="6"/>
      <c r="H209" s="3"/>
      <c r="I209" s="6" t="str">
        <f>IFERROR(IF(F209&lt;&gt;"通信機器購入なし",VLOOKUP(F209&amp;H209,メニュー!$H$30:$I$39,2,0),VLOOKUP(D209&amp;F209&amp;H209,メニュー!$H$25:$I$26,2,0)),"")</f>
        <v/>
      </c>
      <c r="J209" s="7"/>
      <c r="K209" s="7"/>
      <c r="L209" s="7"/>
      <c r="M209" s="7"/>
    </row>
    <row r="210" spans="1:13" x14ac:dyDescent="0.2">
      <c r="A210" s="6" t="str">
        <f t="shared" si="3"/>
        <v/>
      </c>
      <c r="B210" s="3"/>
      <c r="C210" s="6" t="str">
        <f>IFERROR(VLOOKUP(B210,メニュー!$B$3:$C$12,2,FALSE),"")</f>
        <v/>
      </c>
      <c r="D210" s="3"/>
      <c r="E210" s="6" t="str">
        <f>IFERROR(VLOOKUP(D210,メニュー!$D$3:$E$4,2,FALSE),"")</f>
        <v/>
      </c>
      <c r="F210" s="3"/>
      <c r="G210" s="6"/>
      <c r="H210" s="3"/>
      <c r="I210" s="6" t="str">
        <f>IFERROR(IF(F210&lt;&gt;"通信機器購入なし",VLOOKUP(F210&amp;H210,メニュー!$H$30:$I$39,2,0),VLOOKUP(D210&amp;F210&amp;H210,メニュー!$H$25:$I$26,2,0)),"")</f>
        <v/>
      </c>
      <c r="J210" s="7"/>
      <c r="K210" s="7"/>
      <c r="L210" s="7"/>
      <c r="M210" s="7"/>
    </row>
    <row r="211" spans="1:13" x14ac:dyDescent="0.2">
      <c r="A211" s="6" t="str">
        <f t="shared" si="3"/>
        <v/>
      </c>
      <c r="B211" s="3"/>
      <c r="C211" s="6" t="str">
        <f>IFERROR(VLOOKUP(B211,メニュー!$B$3:$C$12,2,FALSE),"")</f>
        <v/>
      </c>
      <c r="D211" s="3"/>
      <c r="E211" s="6" t="str">
        <f>IFERROR(VLOOKUP(D211,メニュー!$D$3:$E$4,2,FALSE),"")</f>
        <v/>
      </c>
      <c r="F211" s="3"/>
      <c r="G211" s="6"/>
      <c r="H211" s="3"/>
      <c r="I211" s="6" t="str">
        <f>IFERROR(IF(F211&lt;&gt;"通信機器購入なし",VLOOKUP(F211&amp;H211,メニュー!$H$30:$I$39,2,0),VLOOKUP(D211&amp;F211&amp;H211,メニュー!$H$25:$I$26,2,0)),"")</f>
        <v/>
      </c>
      <c r="J211" s="7"/>
      <c r="K211" s="7"/>
      <c r="L211" s="7"/>
      <c r="M211" s="7"/>
    </row>
    <row r="212" spans="1:13" x14ac:dyDescent="0.2">
      <c r="A212" s="6" t="str">
        <f t="shared" si="3"/>
        <v/>
      </c>
      <c r="B212" s="3"/>
      <c r="C212" s="6" t="str">
        <f>IFERROR(VLOOKUP(B212,メニュー!$B$3:$C$12,2,FALSE),"")</f>
        <v/>
      </c>
      <c r="D212" s="3"/>
      <c r="E212" s="6" t="str">
        <f>IFERROR(VLOOKUP(D212,メニュー!$D$3:$E$4,2,FALSE),"")</f>
        <v/>
      </c>
      <c r="F212" s="3"/>
      <c r="G212" s="6"/>
      <c r="H212" s="3"/>
      <c r="I212" s="6" t="str">
        <f>IFERROR(IF(F212&lt;&gt;"通信機器購入なし",VLOOKUP(F212&amp;H212,メニュー!$H$30:$I$39,2,0),VLOOKUP(D212&amp;F212&amp;H212,メニュー!$H$25:$I$26,2,0)),"")</f>
        <v/>
      </c>
      <c r="J212" s="7"/>
      <c r="K212" s="7"/>
      <c r="L212" s="7"/>
      <c r="M212" s="7"/>
    </row>
    <row r="213" spans="1:13" x14ac:dyDescent="0.2">
      <c r="A213" s="6" t="str">
        <f t="shared" si="3"/>
        <v/>
      </c>
      <c r="B213" s="3"/>
      <c r="C213" s="6" t="str">
        <f>IFERROR(VLOOKUP(B213,メニュー!$B$3:$C$12,2,FALSE),"")</f>
        <v/>
      </c>
      <c r="D213" s="3"/>
      <c r="E213" s="6" t="str">
        <f>IFERROR(VLOOKUP(D213,メニュー!$D$3:$E$4,2,FALSE),"")</f>
        <v/>
      </c>
      <c r="F213" s="3"/>
      <c r="G213" s="6"/>
      <c r="H213" s="3"/>
      <c r="I213" s="6" t="str">
        <f>IFERROR(IF(F213&lt;&gt;"通信機器購入なし",VLOOKUP(F213&amp;H213,メニュー!$H$30:$I$39,2,0),VLOOKUP(D213&amp;F213&amp;H213,メニュー!$H$25:$I$26,2,0)),"")</f>
        <v/>
      </c>
      <c r="J213" s="7"/>
      <c r="K213" s="7"/>
      <c r="L213" s="7"/>
      <c r="M213" s="7"/>
    </row>
    <row r="214" spans="1:13" x14ac:dyDescent="0.2">
      <c r="A214" s="6" t="str">
        <f t="shared" si="3"/>
        <v/>
      </c>
      <c r="B214" s="3"/>
      <c r="C214" s="6" t="str">
        <f>IFERROR(VLOOKUP(B214,メニュー!$B$3:$C$12,2,FALSE),"")</f>
        <v/>
      </c>
      <c r="D214" s="3"/>
      <c r="E214" s="6" t="str">
        <f>IFERROR(VLOOKUP(D214,メニュー!$D$3:$E$4,2,FALSE),"")</f>
        <v/>
      </c>
      <c r="F214" s="3"/>
      <c r="G214" s="6"/>
      <c r="H214" s="3"/>
      <c r="I214" s="6" t="str">
        <f>IFERROR(IF(F214&lt;&gt;"通信機器購入なし",VLOOKUP(F214&amp;H214,メニュー!$H$30:$I$39,2,0),VLOOKUP(D214&amp;F214&amp;H214,メニュー!$H$25:$I$26,2,0)),"")</f>
        <v/>
      </c>
      <c r="J214" s="7"/>
      <c r="K214" s="7"/>
      <c r="L214" s="7"/>
      <c r="M214" s="7"/>
    </row>
    <row r="215" spans="1:13" x14ac:dyDescent="0.2">
      <c r="A215" s="6" t="str">
        <f t="shared" si="3"/>
        <v/>
      </c>
      <c r="B215" s="3"/>
      <c r="C215" s="6" t="str">
        <f>IFERROR(VLOOKUP(B215,メニュー!$B$3:$C$12,2,FALSE),"")</f>
        <v/>
      </c>
      <c r="D215" s="3"/>
      <c r="E215" s="6" t="str">
        <f>IFERROR(VLOOKUP(D215,メニュー!$D$3:$E$4,2,FALSE),"")</f>
        <v/>
      </c>
      <c r="F215" s="3"/>
      <c r="G215" s="6"/>
      <c r="H215" s="3"/>
      <c r="I215" s="6" t="str">
        <f>IFERROR(IF(F215&lt;&gt;"通信機器購入なし",VLOOKUP(F215&amp;H215,メニュー!$H$30:$I$39,2,0),VLOOKUP(D215&amp;F215&amp;H215,メニュー!$H$25:$I$26,2,0)),"")</f>
        <v/>
      </c>
      <c r="J215" s="7"/>
      <c r="K215" s="7"/>
      <c r="L215" s="7"/>
      <c r="M215" s="7"/>
    </row>
    <row r="216" spans="1:13" x14ac:dyDescent="0.2">
      <c r="A216" s="6" t="str">
        <f t="shared" si="3"/>
        <v/>
      </c>
      <c r="B216" s="3"/>
      <c r="C216" s="6" t="str">
        <f>IFERROR(VLOOKUP(B216,メニュー!$B$3:$C$12,2,FALSE),"")</f>
        <v/>
      </c>
      <c r="D216" s="3"/>
      <c r="E216" s="6" t="str">
        <f>IFERROR(VLOOKUP(D216,メニュー!$D$3:$E$4,2,FALSE),"")</f>
        <v/>
      </c>
      <c r="F216" s="3"/>
      <c r="G216" s="6"/>
      <c r="H216" s="3"/>
      <c r="I216" s="6" t="str">
        <f>IFERROR(IF(F216&lt;&gt;"通信機器購入なし",VLOOKUP(F216&amp;H216,メニュー!$H$30:$I$39,2,0),VLOOKUP(D216&amp;F216&amp;H216,メニュー!$H$25:$I$26,2,0)),"")</f>
        <v/>
      </c>
      <c r="J216" s="7"/>
      <c r="K216" s="7"/>
      <c r="L216" s="7"/>
      <c r="M216" s="7"/>
    </row>
    <row r="217" spans="1:13" x14ac:dyDescent="0.2">
      <c r="A217" s="6" t="str">
        <f t="shared" si="3"/>
        <v/>
      </c>
      <c r="B217" s="3"/>
      <c r="C217" s="6" t="str">
        <f>IFERROR(VLOOKUP(B217,メニュー!$B$3:$C$12,2,FALSE),"")</f>
        <v/>
      </c>
      <c r="D217" s="3"/>
      <c r="E217" s="6" t="str">
        <f>IFERROR(VLOOKUP(D217,メニュー!$D$3:$E$4,2,FALSE),"")</f>
        <v/>
      </c>
      <c r="F217" s="3"/>
      <c r="G217" s="6"/>
      <c r="H217" s="3"/>
      <c r="I217" s="6" t="str">
        <f>IFERROR(IF(F217&lt;&gt;"通信機器購入なし",VLOOKUP(F217&amp;H217,メニュー!$H$30:$I$39,2,0),VLOOKUP(D217&amp;F217&amp;H217,メニュー!$H$25:$I$26,2,0)),"")</f>
        <v/>
      </c>
      <c r="J217" s="7"/>
      <c r="K217" s="7"/>
      <c r="L217" s="7"/>
      <c r="M217" s="7"/>
    </row>
    <row r="218" spans="1:13" x14ac:dyDescent="0.2">
      <c r="A218" s="6" t="str">
        <f t="shared" si="3"/>
        <v/>
      </c>
      <c r="B218" s="3"/>
      <c r="C218" s="6" t="str">
        <f>IFERROR(VLOOKUP(B218,メニュー!$B$3:$C$12,2,FALSE),"")</f>
        <v/>
      </c>
      <c r="D218" s="3"/>
      <c r="E218" s="6" t="str">
        <f>IFERROR(VLOOKUP(D218,メニュー!$D$3:$E$4,2,FALSE),"")</f>
        <v/>
      </c>
      <c r="F218" s="3"/>
      <c r="G218" s="6"/>
      <c r="H218" s="3"/>
      <c r="I218" s="6" t="str">
        <f>IFERROR(IF(F218&lt;&gt;"通信機器購入なし",VLOOKUP(F218&amp;H218,メニュー!$H$30:$I$39,2,0),VLOOKUP(D218&amp;F218&amp;H218,メニュー!$H$25:$I$26,2,0)),"")</f>
        <v/>
      </c>
      <c r="J218" s="7"/>
      <c r="K218" s="7"/>
      <c r="L218" s="7"/>
      <c r="M218" s="7"/>
    </row>
    <row r="219" spans="1:13" x14ac:dyDescent="0.2">
      <c r="A219" s="6" t="str">
        <f t="shared" si="3"/>
        <v/>
      </c>
      <c r="B219" s="3"/>
      <c r="C219" s="6" t="str">
        <f>IFERROR(VLOOKUP(B219,メニュー!$B$3:$C$12,2,FALSE),"")</f>
        <v/>
      </c>
      <c r="D219" s="3"/>
      <c r="E219" s="6" t="str">
        <f>IFERROR(VLOOKUP(D219,メニュー!$D$3:$E$4,2,FALSE),"")</f>
        <v/>
      </c>
      <c r="F219" s="3"/>
      <c r="G219" s="6"/>
      <c r="H219" s="3"/>
      <c r="I219" s="6" t="str">
        <f>IFERROR(IF(F219&lt;&gt;"通信機器購入なし",VLOOKUP(F219&amp;H219,メニュー!$H$30:$I$39,2,0),VLOOKUP(D219&amp;F219&amp;H219,メニュー!$H$25:$I$26,2,0)),"")</f>
        <v/>
      </c>
      <c r="J219" s="7"/>
      <c r="K219" s="7"/>
      <c r="L219" s="7"/>
      <c r="M219" s="7"/>
    </row>
    <row r="220" spans="1:13" x14ac:dyDescent="0.2">
      <c r="A220" s="6" t="str">
        <f t="shared" si="3"/>
        <v/>
      </c>
      <c r="B220" s="3"/>
      <c r="C220" s="6" t="str">
        <f>IFERROR(VLOOKUP(B220,メニュー!$B$3:$C$12,2,FALSE),"")</f>
        <v/>
      </c>
      <c r="D220" s="3"/>
      <c r="E220" s="6" t="str">
        <f>IFERROR(VLOOKUP(D220,メニュー!$D$3:$E$4,2,FALSE),"")</f>
        <v/>
      </c>
      <c r="F220" s="3"/>
      <c r="G220" s="6"/>
      <c r="H220" s="3"/>
      <c r="I220" s="6" t="str">
        <f>IFERROR(IF(F220&lt;&gt;"通信機器購入なし",VLOOKUP(F220&amp;H220,メニュー!$H$30:$I$39,2,0),VLOOKUP(D220&amp;F220&amp;H220,メニュー!$H$25:$I$26,2,0)),"")</f>
        <v/>
      </c>
      <c r="J220" s="7"/>
      <c r="K220" s="7"/>
      <c r="L220" s="7"/>
      <c r="M220" s="7"/>
    </row>
    <row r="221" spans="1:13" x14ac:dyDescent="0.2">
      <c r="A221" s="6" t="str">
        <f t="shared" si="3"/>
        <v/>
      </c>
      <c r="B221" s="3"/>
      <c r="C221" s="6" t="str">
        <f>IFERROR(VLOOKUP(B221,メニュー!$B$3:$C$12,2,FALSE),"")</f>
        <v/>
      </c>
      <c r="D221" s="3"/>
      <c r="E221" s="6" t="str">
        <f>IFERROR(VLOOKUP(D221,メニュー!$D$3:$E$4,2,FALSE),"")</f>
        <v/>
      </c>
      <c r="F221" s="3"/>
      <c r="G221" s="6"/>
      <c r="H221" s="3"/>
      <c r="I221" s="6" t="str">
        <f>IFERROR(IF(F221&lt;&gt;"通信機器購入なし",VLOOKUP(F221&amp;H221,メニュー!$H$30:$I$39,2,0),VLOOKUP(D221&amp;F221&amp;H221,メニュー!$H$25:$I$26,2,0)),"")</f>
        <v/>
      </c>
      <c r="J221" s="7"/>
      <c r="K221" s="7"/>
      <c r="L221" s="7"/>
      <c r="M221" s="7"/>
    </row>
    <row r="222" spans="1:13" x14ac:dyDescent="0.2">
      <c r="A222" s="6" t="str">
        <f t="shared" si="3"/>
        <v/>
      </c>
      <c r="B222" s="3"/>
      <c r="C222" s="6" t="str">
        <f>IFERROR(VLOOKUP(B222,メニュー!$B$3:$C$12,2,FALSE),"")</f>
        <v/>
      </c>
      <c r="D222" s="3"/>
      <c r="E222" s="6" t="str">
        <f>IFERROR(VLOOKUP(D222,メニュー!$D$3:$E$4,2,FALSE),"")</f>
        <v/>
      </c>
      <c r="F222" s="3"/>
      <c r="G222" s="6"/>
      <c r="H222" s="3"/>
      <c r="I222" s="6" t="str">
        <f>IFERROR(IF(F222&lt;&gt;"通信機器購入なし",VLOOKUP(F222&amp;H222,メニュー!$H$30:$I$39,2,0),VLOOKUP(D222&amp;F222&amp;H222,メニュー!$H$25:$I$26,2,0)),"")</f>
        <v/>
      </c>
      <c r="J222" s="7"/>
      <c r="K222" s="7"/>
      <c r="L222" s="7"/>
      <c r="M222" s="7"/>
    </row>
    <row r="223" spans="1:13" x14ac:dyDescent="0.2">
      <c r="A223" s="6" t="str">
        <f t="shared" si="3"/>
        <v/>
      </c>
      <c r="B223" s="3"/>
      <c r="C223" s="6" t="str">
        <f>IFERROR(VLOOKUP(B223,メニュー!$B$3:$C$12,2,FALSE),"")</f>
        <v/>
      </c>
      <c r="D223" s="3"/>
      <c r="E223" s="6" t="str">
        <f>IFERROR(VLOOKUP(D223,メニュー!$D$3:$E$4,2,FALSE),"")</f>
        <v/>
      </c>
      <c r="F223" s="3"/>
      <c r="G223" s="6"/>
      <c r="H223" s="3"/>
      <c r="I223" s="6" t="str">
        <f>IFERROR(IF(F223&lt;&gt;"通信機器購入なし",VLOOKUP(F223&amp;H223,メニュー!$H$30:$I$39,2,0),VLOOKUP(D223&amp;F223&amp;H223,メニュー!$H$25:$I$26,2,0)),"")</f>
        <v/>
      </c>
      <c r="J223" s="7"/>
      <c r="K223" s="7"/>
      <c r="L223" s="7"/>
      <c r="M223" s="7"/>
    </row>
    <row r="224" spans="1:13" x14ac:dyDescent="0.2">
      <c r="A224" s="6" t="str">
        <f t="shared" si="3"/>
        <v/>
      </c>
      <c r="B224" s="3"/>
      <c r="C224" s="6" t="str">
        <f>IFERROR(VLOOKUP(B224,メニュー!$B$3:$C$12,2,FALSE),"")</f>
        <v/>
      </c>
      <c r="D224" s="3"/>
      <c r="E224" s="6" t="str">
        <f>IFERROR(VLOOKUP(D224,メニュー!$D$3:$E$4,2,FALSE),"")</f>
        <v/>
      </c>
      <c r="F224" s="3"/>
      <c r="G224" s="6"/>
      <c r="H224" s="3"/>
      <c r="I224" s="6" t="str">
        <f>IFERROR(IF(F224&lt;&gt;"通信機器購入なし",VLOOKUP(F224&amp;H224,メニュー!$H$30:$I$39,2,0),VLOOKUP(D224&amp;F224&amp;H224,メニュー!$H$25:$I$26,2,0)),"")</f>
        <v/>
      </c>
      <c r="J224" s="7"/>
      <c r="K224" s="7"/>
      <c r="L224" s="7"/>
      <c r="M224" s="7"/>
    </row>
    <row r="225" spans="1:13" x14ac:dyDescent="0.2">
      <c r="A225" s="6" t="str">
        <f t="shared" si="3"/>
        <v/>
      </c>
      <c r="B225" s="3"/>
      <c r="C225" s="6" t="str">
        <f>IFERROR(VLOOKUP(B225,メニュー!$B$3:$C$12,2,FALSE),"")</f>
        <v/>
      </c>
      <c r="D225" s="3"/>
      <c r="E225" s="6" t="str">
        <f>IFERROR(VLOOKUP(D225,メニュー!$D$3:$E$4,2,FALSE),"")</f>
        <v/>
      </c>
      <c r="F225" s="3"/>
      <c r="G225" s="6"/>
      <c r="H225" s="3"/>
      <c r="I225" s="6" t="str">
        <f>IFERROR(IF(F225&lt;&gt;"通信機器購入なし",VLOOKUP(F225&amp;H225,メニュー!$H$30:$I$39,2,0),VLOOKUP(D225&amp;F225&amp;H225,メニュー!$H$25:$I$26,2,0)),"")</f>
        <v/>
      </c>
      <c r="J225" s="7"/>
      <c r="K225" s="7"/>
      <c r="L225" s="7"/>
      <c r="M225" s="7"/>
    </row>
    <row r="226" spans="1:13" x14ac:dyDescent="0.2">
      <c r="A226" s="6" t="str">
        <f t="shared" si="3"/>
        <v/>
      </c>
      <c r="B226" s="3"/>
      <c r="C226" s="6" t="str">
        <f>IFERROR(VLOOKUP(B226,メニュー!$B$3:$C$12,2,FALSE),"")</f>
        <v/>
      </c>
      <c r="D226" s="3"/>
      <c r="E226" s="6" t="str">
        <f>IFERROR(VLOOKUP(D226,メニュー!$D$3:$E$4,2,FALSE),"")</f>
        <v/>
      </c>
      <c r="F226" s="3"/>
      <c r="G226" s="6"/>
      <c r="H226" s="3"/>
      <c r="I226" s="6" t="str">
        <f>IFERROR(IF(F226&lt;&gt;"通信機器購入なし",VLOOKUP(F226&amp;H226,メニュー!$H$30:$I$39,2,0),VLOOKUP(D226&amp;F226&amp;H226,メニュー!$H$25:$I$26,2,0)),"")</f>
        <v/>
      </c>
      <c r="J226" s="7"/>
      <c r="K226" s="7"/>
      <c r="L226" s="7"/>
      <c r="M226" s="7"/>
    </row>
    <row r="227" spans="1:13" x14ac:dyDescent="0.2">
      <c r="A227" s="6" t="str">
        <f t="shared" si="3"/>
        <v/>
      </c>
      <c r="B227" s="3"/>
      <c r="C227" s="6" t="str">
        <f>IFERROR(VLOOKUP(B227,メニュー!$B$3:$C$12,2,FALSE),"")</f>
        <v/>
      </c>
      <c r="D227" s="3"/>
      <c r="E227" s="6" t="str">
        <f>IFERROR(VLOOKUP(D227,メニュー!$D$3:$E$4,2,FALSE),"")</f>
        <v/>
      </c>
      <c r="F227" s="3"/>
      <c r="G227" s="6"/>
      <c r="H227" s="3"/>
      <c r="I227" s="6" t="str">
        <f>IFERROR(IF(F227&lt;&gt;"通信機器購入なし",VLOOKUP(F227&amp;H227,メニュー!$H$30:$I$39,2,0),VLOOKUP(D227&amp;F227&amp;H227,メニュー!$H$25:$I$26,2,0)),"")</f>
        <v/>
      </c>
      <c r="J227" s="7"/>
      <c r="K227" s="7"/>
      <c r="L227" s="7"/>
      <c r="M227" s="7"/>
    </row>
    <row r="228" spans="1:13" x14ac:dyDescent="0.2">
      <c r="A228" s="6" t="str">
        <f t="shared" si="3"/>
        <v/>
      </c>
      <c r="B228" s="3"/>
      <c r="C228" s="6" t="str">
        <f>IFERROR(VLOOKUP(B228,メニュー!$B$3:$C$12,2,FALSE),"")</f>
        <v/>
      </c>
      <c r="D228" s="3"/>
      <c r="E228" s="6" t="str">
        <f>IFERROR(VLOOKUP(D228,メニュー!$D$3:$E$4,2,FALSE),"")</f>
        <v/>
      </c>
      <c r="F228" s="3"/>
      <c r="G228" s="6"/>
      <c r="H228" s="3"/>
      <c r="I228" s="6" t="str">
        <f>IFERROR(IF(F228&lt;&gt;"通信機器購入なし",VLOOKUP(F228&amp;H228,メニュー!$H$30:$I$39,2,0),VLOOKUP(D228&amp;F228&amp;H228,メニュー!$H$25:$I$26,2,0)),"")</f>
        <v/>
      </c>
      <c r="J228" s="7"/>
      <c r="K228" s="7"/>
      <c r="L228" s="7"/>
      <c r="M228" s="7"/>
    </row>
    <row r="229" spans="1:13" x14ac:dyDescent="0.2">
      <c r="A229" s="6" t="str">
        <f t="shared" si="3"/>
        <v/>
      </c>
      <c r="B229" s="3"/>
      <c r="C229" s="6" t="str">
        <f>IFERROR(VLOOKUP(B229,メニュー!$B$3:$C$12,2,FALSE),"")</f>
        <v/>
      </c>
      <c r="D229" s="3"/>
      <c r="E229" s="6" t="str">
        <f>IFERROR(VLOOKUP(D229,メニュー!$D$3:$E$4,2,FALSE),"")</f>
        <v/>
      </c>
      <c r="F229" s="3"/>
      <c r="G229" s="6"/>
      <c r="H229" s="3"/>
      <c r="I229" s="6" t="str">
        <f>IFERROR(IF(F229&lt;&gt;"通信機器購入なし",VLOOKUP(F229&amp;H229,メニュー!$H$30:$I$39,2,0),VLOOKUP(D229&amp;F229&amp;H229,メニュー!$H$25:$I$26,2,0)),"")</f>
        <v/>
      </c>
      <c r="J229" s="7"/>
      <c r="K229" s="7"/>
      <c r="L229" s="7"/>
      <c r="M229" s="7"/>
    </row>
    <row r="230" spans="1:13" x14ac:dyDescent="0.2">
      <c r="A230" s="6" t="str">
        <f t="shared" si="3"/>
        <v/>
      </c>
      <c r="B230" s="3"/>
      <c r="C230" s="6" t="str">
        <f>IFERROR(VLOOKUP(B230,メニュー!$B$3:$C$12,2,FALSE),"")</f>
        <v/>
      </c>
      <c r="D230" s="3"/>
      <c r="E230" s="6" t="str">
        <f>IFERROR(VLOOKUP(D230,メニュー!$D$3:$E$4,2,FALSE),"")</f>
        <v/>
      </c>
      <c r="F230" s="3"/>
      <c r="G230" s="6"/>
      <c r="H230" s="3"/>
      <c r="I230" s="6" t="str">
        <f>IFERROR(IF(F230&lt;&gt;"通信機器購入なし",VLOOKUP(F230&amp;H230,メニュー!$H$30:$I$39,2,0),VLOOKUP(D230&amp;F230&amp;H230,メニュー!$H$25:$I$26,2,0)),"")</f>
        <v/>
      </c>
      <c r="J230" s="7"/>
      <c r="K230" s="7"/>
      <c r="L230" s="7"/>
      <c r="M230" s="7"/>
    </row>
    <row r="231" spans="1:13" x14ac:dyDescent="0.2">
      <c r="A231" s="6" t="str">
        <f t="shared" si="3"/>
        <v/>
      </c>
      <c r="B231" s="3"/>
      <c r="C231" s="6" t="str">
        <f>IFERROR(VLOOKUP(B231,メニュー!$B$3:$C$12,2,FALSE),"")</f>
        <v/>
      </c>
      <c r="D231" s="3"/>
      <c r="E231" s="6" t="str">
        <f>IFERROR(VLOOKUP(D231,メニュー!$D$3:$E$4,2,FALSE),"")</f>
        <v/>
      </c>
      <c r="F231" s="3"/>
      <c r="G231" s="6"/>
      <c r="H231" s="3"/>
      <c r="I231" s="6" t="str">
        <f>IFERROR(IF(F231&lt;&gt;"通信機器購入なし",VLOOKUP(F231&amp;H231,メニュー!$H$30:$I$39,2,0),VLOOKUP(D231&amp;F231&amp;H231,メニュー!$H$25:$I$26,2,0)),"")</f>
        <v/>
      </c>
      <c r="J231" s="7"/>
      <c r="K231" s="7"/>
      <c r="L231" s="7"/>
      <c r="M231" s="7"/>
    </row>
    <row r="232" spans="1:13" x14ac:dyDescent="0.2">
      <c r="A232" s="6" t="str">
        <f t="shared" si="3"/>
        <v/>
      </c>
      <c r="B232" s="3"/>
      <c r="C232" s="6" t="str">
        <f>IFERROR(VLOOKUP(B232,メニュー!$B$3:$C$12,2,FALSE),"")</f>
        <v/>
      </c>
      <c r="D232" s="3"/>
      <c r="E232" s="6" t="str">
        <f>IFERROR(VLOOKUP(D232,メニュー!$D$3:$E$4,2,FALSE),"")</f>
        <v/>
      </c>
      <c r="F232" s="3"/>
      <c r="G232" s="6"/>
      <c r="H232" s="3"/>
      <c r="I232" s="6" t="str">
        <f>IFERROR(IF(F232&lt;&gt;"通信機器購入なし",VLOOKUP(F232&amp;H232,メニュー!$H$30:$I$39,2,0),VLOOKUP(D232&amp;F232&amp;H232,メニュー!$H$25:$I$26,2,0)),"")</f>
        <v/>
      </c>
      <c r="J232" s="7"/>
      <c r="K232" s="7"/>
      <c r="L232" s="7"/>
      <c r="M232" s="7"/>
    </row>
    <row r="233" spans="1:13" x14ac:dyDescent="0.2">
      <c r="A233" s="6" t="str">
        <f t="shared" si="3"/>
        <v/>
      </c>
      <c r="B233" s="3"/>
      <c r="C233" s="6" t="str">
        <f>IFERROR(VLOOKUP(B233,メニュー!$B$3:$C$12,2,FALSE),"")</f>
        <v/>
      </c>
      <c r="D233" s="3"/>
      <c r="E233" s="6" t="str">
        <f>IFERROR(VLOOKUP(D233,メニュー!$D$3:$E$4,2,FALSE),"")</f>
        <v/>
      </c>
      <c r="F233" s="3"/>
      <c r="G233" s="6"/>
      <c r="H233" s="3"/>
      <c r="I233" s="6" t="str">
        <f>IFERROR(IF(F233&lt;&gt;"通信機器購入なし",VLOOKUP(F233&amp;H233,メニュー!$H$30:$I$39,2,0),VLOOKUP(D233&amp;F233&amp;H233,メニュー!$H$25:$I$26,2,0)),"")</f>
        <v/>
      </c>
      <c r="J233" s="7"/>
      <c r="K233" s="7"/>
      <c r="L233" s="7"/>
      <c r="M233" s="7"/>
    </row>
    <row r="234" spans="1:13" x14ac:dyDescent="0.2">
      <c r="A234" s="6" t="str">
        <f t="shared" si="3"/>
        <v/>
      </c>
      <c r="B234" s="3"/>
      <c r="C234" s="6" t="str">
        <f>IFERROR(VLOOKUP(B234,メニュー!$B$3:$C$12,2,FALSE),"")</f>
        <v/>
      </c>
      <c r="D234" s="3"/>
      <c r="E234" s="6" t="str">
        <f>IFERROR(VLOOKUP(D234,メニュー!$D$3:$E$4,2,FALSE),"")</f>
        <v/>
      </c>
      <c r="F234" s="3"/>
      <c r="G234" s="6"/>
      <c r="H234" s="3"/>
      <c r="I234" s="6" t="str">
        <f>IFERROR(IF(F234&lt;&gt;"通信機器購入なし",VLOOKUP(F234&amp;H234,メニュー!$H$30:$I$39,2,0),VLOOKUP(D234&amp;F234&amp;H234,メニュー!$H$25:$I$26,2,0)),"")</f>
        <v/>
      </c>
      <c r="J234" s="7"/>
      <c r="K234" s="7"/>
      <c r="L234" s="7"/>
      <c r="M234" s="7"/>
    </row>
    <row r="235" spans="1:13" x14ac:dyDescent="0.2">
      <c r="A235" s="6" t="str">
        <f t="shared" si="3"/>
        <v/>
      </c>
      <c r="B235" s="3"/>
      <c r="C235" s="6" t="str">
        <f>IFERROR(VLOOKUP(B235,メニュー!$B$3:$C$12,2,FALSE),"")</f>
        <v/>
      </c>
      <c r="D235" s="3"/>
      <c r="E235" s="6" t="str">
        <f>IFERROR(VLOOKUP(D235,メニュー!$D$3:$E$4,2,FALSE),"")</f>
        <v/>
      </c>
      <c r="F235" s="3"/>
      <c r="G235" s="6"/>
      <c r="H235" s="3"/>
      <c r="I235" s="6" t="str">
        <f>IFERROR(IF(F235&lt;&gt;"通信機器購入なし",VLOOKUP(F235&amp;H235,メニュー!$H$30:$I$39,2,0),VLOOKUP(D235&amp;F235&amp;H235,メニュー!$H$25:$I$26,2,0)),"")</f>
        <v/>
      </c>
      <c r="J235" s="7"/>
      <c r="K235" s="7"/>
      <c r="L235" s="7"/>
      <c r="M235" s="7"/>
    </row>
    <row r="236" spans="1:13" x14ac:dyDescent="0.2">
      <c r="A236" s="6" t="str">
        <f t="shared" si="3"/>
        <v/>
      </c>
      <c r="B236" s="3"/>
      <c r="C236" s="6" t="str">
        <f>IFERROR(VLOOKUP(B236,メニュー!$B$3:$C$12,2,FALSE),"")</f>
        <v/>
      </c>
      <c r="D236" s="3"/>
      <c r="E236" s="6" t="str">
        <f>IFERROR(VLOOKUP(D236,メニュー!$D$3:$E$4,2,FALSE),"")</f>
        <v/>
      </c>
      <c r="F236" s="3"/>
      <c r="G236" s="6"/>
      <c r="H236" s="3"/>
      <c r="I236" s="6" t="str">
        <f>IFERROR(IF(F236&lt;&gt;"通信機器購入なし",VLOOKUP(F236&amp;H236,メニュー!$H$30:$I$39,2,0),VLOOKUP(D236&amp;F236&amp;H236,メニュー!$H$25:$I$26,2,0)),"")</f>
        <v/>
      </c>
      <c r="J236" s="7"/>
      <c r="K236" s="7"/>
      <c r="L236" s="7"/>
      <c r="M236" s="7"/>
    </row>
    <row r="237" spans="1:13" x14ac:dyDescent="0.2">
      <c r="A237" s="6" t="str">
        <f t="shared" si="3"/>
        <v/>
      </c>
      <c r="B237" s="3"/>
      <c r="C237" s="6" t="str">
        <f>IFERROR(VLOOKUP(B237,メニュー!$B$3:$C$12,2,FALSE),"")</f>
        <v/>
      </c>
      <c r="D237" s="3"/>
      <c r="E237" s="6" t="str">
        <f>IFERROR(VLOOKUP(D237,メニュー!$D$3:$E$4,2,FALSE),"")</f>
        <v/>
      </c>
      <c r="F237" s="3"/>
      <c r="G237" s="6"/>
      <c r="H237" s="3"/>
      <c r="I237" s="6" t="str">
        <f>IFERROR(IF(F237&lt;&gt;"通信機器購入なし",VLOOKUP(F237&amp;H237,メニュー!$H$30:$I$39,2,0),VLOOKUP(D237&amp;F237&amp;H237,メニュー!$H$25:$I$26,2,0)),"")</f>
        <v/>
      </c>
      <c r="J237" s="7"/>
      <c r="K237" s="7"/>
      <c r="L237" s="7"/>
      <c r="M237" s="7"/>
    </row>
    <row r="238" spans="1:13" x14ac:dyDescent="0.2">
      <c r="A238" s="6" t="str">
        <f t="shared" si="3"/>
        <v/>
      </c>
      <c r="B238" s="3"/>
      <c r="C238" s="6" t="str">
        <f>IFERROR(VLOOKUP(B238,メニュー!$B$3:$C$12,2,FALSE),"")</f>
        <v/>
      </c>
      <c r="D238" s="3"/>
      <c r="E238" s="6" t="str">
        <f>IFERROR(VLOOKUP(D238,メニュー!$D$3:$E$4,2,FALSE),"")</f>
        <v/>
      </c>
      <c r="F238" s="3"/>
      <c r="G238" s="6"/>
      <c r="H238" s="3"/>
      <c r="I238" s="6" t="str">
        <f>IFERROR(IF(F238&lt;&gt;"通信機器購入なし",VLOOKUP(F238&amp;H238,メニュー!$H$30:$I$39,2,0),VLOOKUP(D238&amp;F238&amp;H238,メニュー!$H$25:$I$26,2,0)),"")</f>
        <v/>
      </c>
      <c r="J238" s="7"/>
      <c r="K238" s="7"/>
      <c r="L238" s="7"/>
      <c r="M238" s="7"/>
    </row>
    <row r="239" spans="1:13" x14ac:dyDescent="0.2">
      <c r="A239" s="6" t="str">
        <f t="shared" si="3"/>
        <v/>
      </c>
      <c r="B239" s="3"/>
      <c r="C239" s="6" t="str">
        <f>IFERROR(VLOOKUP(B239,メニュー!$B$3:$C$12,2,FALSE),"")</f>
        <v/>
      </c>
      <c r="D239" s="3"/>
      <c r="E239" s="6" t="str">
        <f>IFERROR(VLOOKUP(D239,メニュー!$D$3:$E$4,2,FALSE),"")</f>
        <v/>
      </c>
      <c r="F239" s="3"/>
      <c r="G239" s="6"/>
      <c r="H239" s="3"/>
      <c r="I239" s="6" t="str">
        <f>IFERROR(IF(F239&lt;&gt;"通信機器購入なし",VLOOKUP(F239&amp;H239,メニュー!$H$30:$I$39,2,0),VLOOKUP(D239&amp;F239&amp;H239,メニュー!$H$25:$I$26,2,0)),"")</f>
        <v/>
      </c>
      <c r="J239" s="7"/>
      <c r="K239" s="7"/>
      <c r="L239" s="7"/>
      <c r="M239" s="7"/>
    </row>
    <row r="240" spans="1:13" x14ac:dyDescent="0.2">
      <c r="A240" s="6" t="str">
        <f t="shared" si="3"/>
        <v/>
      </c>
      <c r="B240" s="3"/>
      <c r="C240" s="6" t="str">
        <f>IFERROR(VLOOKUP(B240,メニュー!$B$3:$C$12,2,FALSE),"")</f>
        <v/>
      </c>
      <c r="D240" s="3"/>
      <c r="E240" s="6" t="str">
        <f>IFERROR(VLOOKUP(D240,メニュー!$D$3:$E$4,2,FALSE),"")</f>
        <v/>
      </c>
      <c r="F240" s="3"/>
      <c r="G240" s="6"/>
      <c r="H240" s="3"/>
      <c r="I240" s="6" t="str">
        <f>IFERROR(IF(F240&lt;&gt;"通信機器購入なし",VLOOKUP(F240&amp;H240,メニュー!$H$30:$I$39,2,0),VLOOKUP(D240&amp;F240&amp;H240,メニュー!$H$25:$I$26,2,0)),"")</f>
        <v/>
      </c>
      <c r="J240" s="7"/>
      <c r="K240" s="7"/>
      <c r="L240" s="7"/>
      <c r="M240" s="7"/>
    </row>
    <row r="241" spans="1:13" x14ac:dyDescent="0.2">
      <c r="A241" s="6" t="str">
        <f t="shared" si="3"/>
        <v/>
      </c>
      <c r="B241" s="3"/>
      <c r="C241" s="6" t="str">
        <f>IFERROR(VLOOKUP(B241,メニュー!$B$3:$C$12,2,FALSE),"")</f>
        <v/>
      </c>
      <c r="D241" s="3"/>
      <c r="E241" s="6" t="str">
        <f>IFERROR(VLOOKUP(D241,メニュー!$D$3:$E$4,2,FALSE),"")</f>
        <v/>
      </c>
      <c r="F241" s="3"/>
      <c r="G241" s="6"/>
      <c r="H241" s="3"/>
      <c r="I241" s="6" t="str">
        <f>IFERROR(IF(F241&lt;&gt;"通信機器購入なし",VLOOKUP(F241&amp;H241,メニュー!$H$30:$I$39,2,0),VLOOKUP(D241&amp;F241&amp;H241,メニュー!$H$25:$I$26,2,0)),"")</f>
        <v/>
      </c>
      <c r="J241" s="7"/>
      <c r="K241" s="7"/>
      <c r="L241" s="7"/>
      <c r="M241" s="7"/>
    </row>
    <row r="242" spans="1:13" x14ac:dyDescent="0.2">
      <c r="A242" s="6" t="str">
        <f t="shared" si="3"/>
        <v/>
      </c>
      <c r="B242" s="3"/>
      <c r="C242" s="6" t="str">
        <f>IFERROR(VLOOKUP(B242,メニュー!$B$3:$C$12,2,FALSE),"")</f>
        <v/>
      </c>
      <c r="D242" s="3"/>
      <c r="E242" s="6" t="str">
        <f>IFERROR(VLOOKUP(D242,メニュー!$D$3:$E$4,2,FALSE),"")</f>
        <v/>
      </c>
      <c r="F242" s="3"/>
      <c r="G242" s="6"/>
      <c r="H242" s="3"/>
      <c r="I242" s="6" t="str">
        <f>IFERROR(IF(F242&lt;&gt;"通信機器購入なし",VLOOKUP(F242&amp;H242,メニュー!$H$30:$I$39,2,0),VLOOKUP(D242&amp;F242&amp;H242,メニュー!$H$25:$I$26,2,0)),"")</f>
        <v/>
      </c>
      <c r="J242" s="7"/>
      <c r="K242" s="7"/>
      <c r="L242" s="7"/>
      <c r="M242" s="7"/>
    </row>
    <row r="243" spans="1:13" x14ac:dyDescent="0.2">
      <c r="A243" s="6" t="str">
        <f t="shared" si="3"/>
        <v/>
      </c>
      <c r="B243" s="3"/>
      <c r="C243" s="6" t="str">
        <f>IFERROR(VLOOKUP(B243,メニュー!$B$3:$C$12,2,FALSE),"")</f>
        <v/>
      </c>
      <c r="D243" s="3"/>
      <c r="E243" s="6" t="str">
        <f>IFERROR(VLOOKUP(D243,メニュー!$D$3:$E$4,2,FALSE),"")</f>
        <v/>
      </c>
      <c r="F243" s="3"/>
      <c r="G243" s="6"/>
      <c r="H243" s="3"/>
      <c r="I243" s="6" t="str">
        <f>IFERROR(IF(F243&lt;&gt;"通信機器購入なし",VLOOKUP(F243&amp;H243,メニュー!$H$30:$I$39,2,0),VLOOKUP(D243&amp;F243&amp;H243,メニュー!$H$25:$I$26,2,0)),"")</f>
        <v/>
      </c>
      <c r="J243" s="7"/>
      <c r="K243" s="7"/>
      <c r="L243" s="7"/>
      <c r="M243" s="7"/>
    </row>
    <row r="244" spans="1:13" x14ac:dyDescent="0.2">
      <c r="A244" s="6" t="str">
        <f t="shared" si="3"/>
        <v/>
      </c>
      <c r="B244" s="3"/>
      <c r="C244" s="6" t="str">
        <f>IFERROR(VLOOKUP(B244,メニュー!$B$3:$C$12,2,FALSE),"")</f>
        <v/>
      </c>
      <c r="D244" s="3"/>
      <c r="E244" s="6" t="str">
        <f>IFERROR(VLOOKUP(D244,メニュー!$D$3:$E$4,2,FALSE),"")</f>
        <v/>
      </c>
      <c r="F244" s="3"/>
      <c r="G244" s="6"/>
      <c r="H244" s="3"/>
      <c r="I244" s="6" t="str">
        <f>IFERROR(IF(F244&lt;&gt;"通信機器購入なし",VLOOKUP(F244&amp;H244,メニュー!$H$30:$I$39,2,0),VLOOKUP(D244&amp;F244&amp;H244,メニュー!$H$25:$I$26,2,0)),"")</f>
        <v/>
      </c>
      <c r="J244" s="7"/>
      <c r="K244" s="7"/>
      <c r="L244" s="7"/>
      <c r="M244" s="7"/>
    </row>
    <row r="245" spans="1:13" x14ac:dyDescent="0.2">
      <c r="A245" s="6" t="str">
        <f t="shared" si="3"/>
        <v/>
      </c>
      <c r="B245" s="3"/>
      <c r="C245" s="6" t="str">
        <f>IFERROR(VLOOKUP(B245,メニュー!$B$3:$C$12,2,FALSE),"")</f>
        <v/>
      </c>
      <c r="D245" s="3"/>
      <c r="E245" s="6" t="str">
        <f>IFERROR(VLOOKUP(D245,メニュー!$D$3:$E$4,2,FALSE),"")</f>
        <v/>
      </c>
      <c r="F245" s="3"/>
      <c r="G245" s="6"/>
      <c r="H245" s="3"/>
      <c r="I245" s="6" t="str">
        <f>IFERROR(IF(F245&lt;&gt;"通信機器購入なし",VLOOKUP(F245&amp;H245,メニュー!$H$30:$I$39,2,0),VLOOKUP(D245&amp;F245&amp;H245,メニュー!$H$25:$I$26,2,0)),"")</f>
        <v/>
      </c>
      <c r="J245" s="7"/>
      <c r="K245" s="7"/>
      <c r="L245" s="7"/>
      <c r="M245" s="7"/>
    </row>
    <row r="246" spans="1:13" x14ac:dyDescent="0.2">
      <c r="A246" s="6" t="str">
        <f t="shared" si="3"/>
        <v/>
      </c>
      <c r="B246" s="3"/>
      <c r="C246" s="6" t="str">
        <f>IFERROR(VLOOKUP(B246,メニュー!$B$3:$C$12,2,FALSE),"")</f>
        <v/>
      </c>
      <c r="D246" s="3"/>
      <c r="E246" s="6" t="str">
        <f>IFERROR(VLOOKUP(D246,メニュー!$D$3:$E$4,2,FALSE),"")</f>
        <v/>
      </c>
      <c r="F246" s="3"/>
      <c r="G246" s="6"/>
      <c r="H246" s="3"/>
      <c r="I246" s="6" t="str">
        <f>IFERROR(IF(F246&lt;&gt;"通信機器購入なし",VLOOKUP(F246&amp;H246,メニュー!$H$30:$I$39,2,0),VLOOKUP(D246&amp;F246&amp;H246,メニュー!$H$25:$I$26,2,0)),"")</f>
        <v/>
      </c>
      <c r="J246" s="7"/>
      <c r="K246" s="7"/>
      <c r="L246" s="7"/>
      <c r="M246" s="7"/>
    </row>
    <row r="247" spans="1:13" x14ac:dyDescent="0.2">
      <c r="A247" s="6" t="str">
        <f t="shared" si="3"/>
        <v/>
      </c>
      <c r="B247" s="3"/>
      <c r="C247" s="6" t="str">
        <f>IFERROR(VLOOKUP(B247,メニュー!$B$3:$C$12,2,FALSE),"")</f>
        <v/>
      </c>
      <c r="D247" s="3"/>
      <c r="E247" s="6" t="str">
        <f>IFERROR(VLOOKUP(D247,メニュー!$D$3:$E$4,2,FALSE),"")</f>
        <v/>
      </c>
      <c r="F247" s="3"/>
      <c r="G247" s="6"/>
      <c r="H247" s="3"/>
      <c r="I247" s="6" t="str">
        <f>IFERROR(IF(F247&lt;&gt;"通信機器購入なし",VLOOKUP(F247&amp;H247,メニュー!$H$30:$I$39,2,0),VLOOKUP(D247&amp;F247&amp;H247,メニュー!$H$25:$I$26,2,0)),"")</f>
        <v/>
      </c>
      <c r="J247" s="7"/>
      <c r="K247" s="7"/>
      <c r="L247" s="7"/>
      <c r="M247" s="7"/>
    </row>
    <row r="248" spans="1:13" x14ac:dyDescent="0.2">
      <c r="A248" s="6" t="str">
        <f t="shared" si="3"/>
        <v/>
      </c>
      <c r="B248" s="3"/>
      <c r="C248" s="6" t="str">
        <f>IFERROR(VLOOKUP(B248,メニュー!$B$3:$C$12,2,FALSE),"")</f>
        <v/>
      </c>
      <c r="D248" s="3"/>
      <c r="E248" s="6" t="str">
        <f>IFERROR(VLOOKUP(D248,メニュー!$D$3:$E$4,2,FALSE),"")</f>
        <v/>
      </c>
      <c r="F248" s="3"/>
      <c r="G248" s="6"/>
      <c r="H248" s="3"/>
      <c r="I248" s="6" t="str">
        <f>IFERROR(IF(F248&lt;&gt;"通信機器購入なし",VLOOKUP(F248&amp;H248,メニュー!$H$30:$I$39,2,0),VLOOKUP(D248&amp;F248&amp;H248,メニュー!$H$25:$I$26,2,0)),"")</f>
        <v/>
      </c>
      <c r="J248" s="7"/>
      <c r="K248" s="7"/>
      <c r="L248" s="7"/>
      <c r="M248" s="7"/>
    </row>
    <row r="249" spans="1:13" x14ac:dyDescent="0.2">
      <c r="A249" s="6" t="str">
        <f t="shared" si="3"/>
        <v/>
      </c>
      <c r="B249" s="3"/>
      <c r="C249" s="6" t="str">
        <f>IFERROR(VLOOKUP(B249,メニュー!$B$3:$C$12,2,FALSE),"")</f>
        <v/>
      </c>
      <c r="D249" s="3"/>
      <c r="E249" s="6" t="str">
        <f>IFERROR(VLOOKUP(D249,メニュー!$D$3:$E$4,2,FALSE),"")</f>
        <v/>
      </c>
      <c r="F249" s="3"/>
      <c r="G249" s="6"/>
      <c r="H249" s="3"/>
      <c r="I249" s="6" t="str">
        <f>IFERROR(IF(F249&lt;&gt;"通信機器購入なし",VLOOKUP(F249&amp;H249,メニュー!$H$30:$I$39,2,0),VLOOKUP(D249&amp;F249&amp;H249,メニュー!$H$25:$I$26,2,0)),"")</f>
        <v/>
      </c>
      <c r="J249" s="7"/>
      <c r="K249" s="7"/>
      <c r="L249" s="7"/>
      <c r="M249" s="7"/>
    </row>
    <row r="250" spans="1:13" x14ac:dyDescent="0.2">
      <c r="A250" s="6" t="str">
        <f t="shared" si="3"/>
        <v/>
      </c>
      <c r="B250" s="3"/>
      <c r="C250" s="6" t="str">
        <f>IFERROR(VLOOKUP(B250,メニュー!$B$3:$C$12,2,FALSE),"")</f>
        <v/>
      </c>
      <c r="D250" s="3"/>
      <c r="E250" s="6" t="str">
        <f>IFERROR(VLOOKUP(D250,メニュー!$D$3:$E$4,2,FALSE),"")</f>
        <v/>
      </c>
      <c r="F250" s="3"/>
      <c r="G250" s="6"/>
      <c r="H250" s="3"/>
      <c r="I250" s="6" t="str">
        <f>IFERROR(IF(F250&lt;&gt;"通信機器購入なし",VLOOKUP(F250&amp;H250,メニュー!$H$30:$I$39,2,0),VLOOKUP(D250&amp;F250&amp;H250,メニュー!$H$25:$I$26,2,0)),"")</f>
        <v/>
      </c>
      <c r="J250" s="7"/>
      <c r="K250" s="7"/>
      <c r="L250" s="7"/>
      <c r="M250" s="7"/>
    </row>
    <row r="251" spans="1:13" x14ac:dyDescent="0.2">
      <c r="A251" s="6" t="str">
        <f t="shared" si="3"/>
        <v/>
      </c>
      <c r="B251" s="3"/>
      <c r="C251" s="6" t="str">
        <f>IFERROR(VLOOKUP(B251,メニュー!$B$3:$C$12,2,FALSE),"")</f>
        <v/>
      </c>
      <c r="D251" s="3"/>
      <c r="E251" s="6" t="str">
        <f>IFERROR(VLOOKUP(D251,メニュー!$D$3:$E$4,2,FALSE),"")</f>
        <v/>
      </c>
      <c r="F251" s="3"/>
      <c r="G251" s="6"/>
      <c r="H251" s="3"/>
      <c r="I251" s="6" t="str">
        <f>IFERROR(IF(F251&lt;&gt;"通信機器購入なし",VLOOKUP(F251&amp;H251,メニュー!$H$30:$I$39,2,0),VLOOKUP(D251&amp;F251&amp;H251,メニュー!$H$25:$I$26,2,0)),"")</f>
        <v/>
      </c>
      <c r="J251" s="7"/>
      <c r="K251" s="7"/>
      <c r="L251" s="7"/>
      <c r="M251" s="7"/>
    </row>
    <row r="252" spans="1:13" x14ac:dyDescent="0.2">
      <c r="A252" s="6" t="str">
        <f t="shared" si="3"/>
        <v/>
      </c>
      <c r="B252" s="3"/>
      <c r="C252" s="6" t="str">
        <f>IFERROR(VLOOKUP(B252,メニュー!$B$3:$C$12,2,FALSE),"")</f>
        <v/>
      </c>
      <c r="D252" s="3"/>
      <c r="E252" s="6" t="str">
        <f>IFERROR(VLOOKUP(D252,メニュー!$D$3:$E$4,2,FALSE),"")</f>
        <v/>
      </c>
      <c r="F252" s="3"/>
      <c r="G252" s="6"/>
      <c r="H252" s="3"/>
      <c r="I252" s="6" t="str">
        <f>IFERROR(IF(F252&lt;&gt;"通信機器購入なし",VLOOKUP(F252&amp;H252,メニュー!$H$30:$I$39,2,0),VLOOKUP(D252&amp;F252&amp;H252,メニュー!$H$25:$I$26,2,0)),"")</f>
        <v/>
      </c>
      <c r="J252" s="7"/>
      <c r="K252" s="7"/>
      <c r="L252" s="7"/>
      <c r="M252" s="7"/>
    </row>
    <row r="253" spans="1:13" x14ac:dyDescent="0.2">
      <c r="A253" s="6" t="str">
        <f t="shared" si="3"/>
        <v/>
      </c>
      <c r="B253" s="3"/>
      <c r="C253" s="6" t="str">
        <f>IFERROR(VLOOKUP(B253,メニュー!$B$3:$C$12,2,FALSE),"")</f>
        <v/>
      </c>
      <c r="D253" s="3"/>
      <c r="E253" s="6" t="str">
        <f>IFERROR(VLOOKUP(D253,メニュー!$D$3:$E$4,2,FALSE),"")</f>
        <v/>
      </c>
      <c r="F253" s="3"/>
      <c r="G253" s="6"/>
      <c r="H253" s="3"/>
      <c r="I253" s="6" t="str">
        <f>IFERROR(IF(F253&lt;&gt;"通信機器購入なし",VLOOKUP(F253&amp;H253,メニュー!$H$30:$I$39,2,0),VLOOKUP(D253&amp;F253&amp;H253,メニュー!$H$25:$I$26,2,0)),"")</f>
        <v/>
      </c>
      <c r="J253" s="7"/>
      <c r="K253" s="7"/>
      <c r="L253" s="7"/>
      <c r="M253" s="7"/>
    </row>
    <row r="254" spans="1:13" x14ac:dyDescent="0.2">
      <c r="A254" s="6" t="str">
        <f t="shared" si="3"/>
        <v/>
      </c>
      <c r="B254" s="3"/>
      <c r="C254" s="6" t="str">
        <f>IFERROR(VLOOKUP(B254,メニュー!$B$3:$C$12,2,FALSE),"")</f>
        <v/>
      </c>
      <c r="D254" s="3"/>
      <c r="E254" s="6" t="str">
        <f>IFERROR(VLOOKUP(D254,メニュー!$D$3:$E$4,2,FALSE),"")</f>
        <v/>
      </c>
      <c r="F254" s="3"/>
      <c r="G254" s="6"/>
      <c r="H254" s="3"/>
      <c r="I254" s="6" t="str">
        <f>IFERROR(IF(F254&lt;&gt;"通信機器購入なし",VLOOKUP(F254&amp;H254,メニュー!$H$30:$I$39,2,0),VLOOKUP(D254&amp;F254&amp;H254,メニュー!$H$25:$I$26,2,0)),"")</f>
        <v/>
      </c>
      <c r="J254" s="7"/>
      <c r="K254" s="7"/>
      <c r="L254" s="7"/>
      <c r="M254" s="7"/>
    </row>
    <row r="255" spans="1:13" x14ac:dyDescent="0.2">
      <c r="A255" s="6" t="str">
        <f t="shared" si="3"/>
        <v/>
      </c>
      <c r="B255" s="3"/>
      <c r="C255" s="6" t="str">
        <f>IFERROR(VLOOKUP(B255,メニュー!$B$3:$C$12,2,FALSE),"")</f>
        <v/>
      </c>
      <c r="D255" s="3"/>
      <c r="E255" s="6" t="str">
        <f>IFERROR(VLOOKUP(D255,メニュー!$D$3:$E$4,2,FALSE),"")</f>
        <v/>
      </c>
      <c r="F255" s="3"/>
      <c r="G255" s="6"/>
      <c r="H255" s="3"/>
      <c r="I255" s="6" t="str">
        <f>IFERROR(IF(F255&lt;&gt;"通信機器購入なし",VLOOKUP(F255&amp;H255,メニュー!$H$30:$I$39,2,0),VLOOKUP(D255&amp;F255&amp;H255,メニュー!$H$25:$I$26,2,0)),"")</f>
        <v/>
      </c>
      <c r="J255" s="7"/>
      <c r="K255" s="7"/>
      <c r="L255" s="7"/>
      <c r="M255" s="7"/>
    </row>
  </sheetData>
  <sheetProtection selectLockedCells="1"/>
  <dataConsolidate/>
  <phoneticPr fontId="18"/>
  <dataValidations count="4">
    <dataValidation type="custom" allowBlank="1" showInputMessage="1" showErrorMessage="1" error="IPv4アドレスの入力値が正しくありません" sqref="M2:M255" xr:uid="{80F82A4A-3CC1-4B39-A26B-9A9B79D07D57}">
      <formula1>COUNTIFS(M2,"*?.*?.*?.*?",M2,"&lt;&gt;*-*",M2,"&lt;&gt;*.*.*.*.*",M2,"&lt;&gt;*????.*.*.*",M2,"&lt;&gt;*.*????.*.*",M2,"&lt;&gt;*.*.*????.*",M2,"&lt;&gt;*.*.*.*????")*ISNUMBER(SUBSTITUTE(M2,".",)+0)*(SUMPRODUCT(ISNUMBER(FIND(ROW(INDIRECT("Z256:Z999")),M2))*1)=0)</formula1>
    </dataValidation>
    <dataValidation type="custom" allowBlank="1" showInputMessage="1" showErrorMessage="1" error="IPv4アドレスの入力値が正しくありません。" sqref="L2:L255" xr:uid="{12D5FF85-87FB-4520-95BB-61019275314A}">
      <formula1>COUNTIFS(L2,"*?.*?.*?.*?",L2,"&lt;&gt;*-*",L2,"&lt;&gt;*.*.*.*.*",L2,"&lt;&gt;*????.*.*.*",L2,"&lt;&gt;*.*????.*.*",L2,"&lt;&gt;*.*.*????.*",L2,"&lt;&gt;*.*.*.*????")*ISNUMBER(SUBSTITUTE(L2,".",)+0)*(SUMPRODUCT(ISNUMBER(FIND(ROW(INDIRECT("Z256:Z999")),L2))*1)=0)</formula1>
    </dataValidation>
    <dataValidation type="textLength" allowBlank="1" showInputMessage="1" showErrorMessage="1" error="パスワードは2～15文字の範囲で入力してください。" sqref="K2:K255" xr:uid="{C41899B6-C904-495A-B9AF-B989271B87FA}">
      <formula1>2</formula1>
      <formula2>15</formula2>
    </dataValidation>
    <dataValidation type="textLength" allowBlank="1" showInputMessage="1" showErrorMessage="1" error="認証IDは3～15文字の範囲で入力してください。" sqref="J2:J255" xr:uid="{8E3A2303-687D-40AE-B9C3-C724EB59DA14}">
      <formula1>3</formula1>
      <formula2>15</formula2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8E602A2-910E-413F-9B81-DB4E39FF6D2D}">
            <xm:f>VLOOKUP($D2&amp;$F2,エラーチェック!$D$3:$E$24,2,FALSE)="NG"</xm:f>
            <x14:dxf>
              <fill>
                <patternFill>
                  <bgColor rgb="FFFF0000"/>
                </patternFill>
              </fill>
            </x14:dxf>
          </x14:cfRule>
          <xm:sqref>D2:D255 F2:F255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ECBC696-212F-4E41-8517-17819F036DBB}">
          <x14:formula1>
            <xm:f>IF(OR(B2="",D2=""),メニュー!$F$20,IF(D2="5G-NSA",メニュー!$F$12:$F$16,メニュー!$F$3:$F$9))</xm:f>
          </x14:formula1>
          <xm:sqref>F2:F255</xm:sqref>
        </x14:dataValidation>
        <x14:dataValidation type="list" allowBlank="1" showInputMessage="1" showErrorMessage="1" xr:uid="{A7448D31-BAF1-4294-B9EA-F497DAF10728}">
          <x14:formula1>
            <xm:f>メニュー!$I$4</xm:f>
          </x14:formula1>
          <xm:sqref>H2:H255</xm:sqref>
        </x14:dataValidation>
        <x14:dataValidation type="list" allowBlank="1" showInputMessage="1" showErrorMessage="1" xr:uid="{63573BA9-2F3D-4BF4-A7FF-61E648C6E72F}">
          <x14:formula1>
            <xm:f>メニュー!$B$3:$B$12</xm:f>
          </x14:formula1>
          <xm:sqref>B2:B255</xm:sqref>
        </x14:dataValidation>
        <x14:dataValidation type="list" allowBlank="1" showInputMessage="1" showErrorMessage="1" xr:uid="{BF79F065-5A07-46E7-A323-6594725901E0}">
          <x14:formula1>
            <xm:f>IF(RIGHT(B2,3)="SMS",メニュー!$D$3,メニュー!$D$3:$D$4)</xm:f>
          </x14:formula1>
          <xm:sqref>D2:D255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Q39"/>
  <sheetViews>
    <sheetView topLeftCell="C1" workbookViewId="0">
      <selection activeCell="I4" sqref="I4"/>
    </sheetView>
  </sheetViews>
  <sheetFormatPr defaultRowHeight="13" x14ac:dyDescent="0.2"/>
  <cols>
    <col min="1" max="1" width="2.26953125" customWidth="1"/>
    <col min="2" max="2" width="44.7265625" bestFit="1" customWidth="1"/>
    <col min="3" max="3" width="16.7265625" bestFit="1" customWidth="1"/>
    <col min="4" max="4" width="19.26953125" bestFit="1" customWidth="1"/>
    <col min="5" max="5" width="19" bestFit="1" customWidth="1"/>
    <col min="6" max="6" width="58" customWidth="1"/>
    <col min="7" max="7" width="10.7265625" bestFit="1" customWidth="1"/>
    <col min="8" max="8" width="10.7265625" customWidth="1"/>
    <col min="9" max="9" width="14.1796875" bestFit="1" customWidth="1"/>
    <col min="10" max="12" width="13.7265625" customWidth="1"/>
    <col min="13" max="13" width="17" bestFit="1" customWidth="1"/>
    <col min="14" max="14" width="16.453125" bestFit="1" customWidth="1"/>
    <col min="15" max="15" width="29.453125" bestFit="1" customWidth="1"/>
    <col min="16" max="16" width="28.81640625" bestFit="1" customWidth="1"/>
  </cols>
  <sheetData>
    <row r="1" spans="2:17" x14ac:dyDescent="0.2">
      <c r="B1" s="27" t="s">
        <v>17</v>
      </c>
      <c r="C1" s="27"/>
      <c r="D1" s="27"/>
      <c r="E1" s="27"/>
      <c r="F1" s="27"/>
      <c r="G1" s="27"/>
      <c r="H1" s="28"/>
      <c r="I1" s="27"/>
      <c r="J1" s="27"/>
      <c r="K1" s="27"/>
      <c r="L1" s="27"/>
      <c r="M1" s="27"/>
      <c r="N1" s="27"/>
    </row>
    <row r="2" spans="2:17" x14ac:dyDescent="0.2">
      <c r="B2" s="9" t="s">
        <v>1</v>
      </c>
      <c r="C2" s="9" t="s">
        <v>2</v>
      </c>
      <c r="D2" s="9" t="s">
        <v>18</v>
      </c>
      <c r="E2" s="10" t="s">
        <v>19</v>
      </c>
      <c r="F2" s="9" t="s">
        <v>5</v>
      </c>
      <c r="G2" s="9" t="s">
        <v>6</v>
      </c>
      <c r="H2" s="10"/>
      <c r="I2" s="9" t="s">
        <v>7</v>
      </c>
      <c r="J2" s="10" t="s">
        <v>8</v>
      </c>
      <c r="K2" s="15" t="s">
        <v>20</v>
      </c>
      <c r="L2" s="15" t="s">
        <v>21</v>
      </c>
      <c r="M2" s="13" t="s">
        <v>22</v>
      </c>
      <c r="N2" s="13" t="s">
        <v>23</v>
      </c>
      <c r="O2" s="13" t="s">
        <v>24</v>
      </c>
      <c r="P2" s="13" t="s">
        <v>25</v>
      </c>
    </row>
    <row r="3" spans="2:17" ht="13.15" customHeight="1" x14ac:dyDescent="0.2">
      <c r="B3" s="9" t="s">
        <v>13</v>
      </c>
      <c r="C3" s="9" t="s">
        <v>26</v>
      </c>
      <c r="D3" s="21" t="s">
        <v>14</v>
      </c>
      <c r="E3" s="10">
        <v>2</v>
      </c>
      <c r="F3" s="9" t="s">
        <v>27</v>
      </c>
      <c r="G3" s="9"/>
      <c r="H3" s="29" t="s">
        <v>28</v>
      </c>
      <c r="I3" s="9"/>
      <c r="J3" s="9"/>
      <c r="K3" s="15" t="s">
        <v>29</v>
      </c>
      <c r="L3" s="15">
        <v>1</v>
      </c>
      <c r="M3" s="13" t="s">
        <v>30</v>
      </c>
      <c r="N3" s="18" t="s">
        <v>31</v>
      </c>
      <c r="O3" s="19" t="s">
        <v>32</v>
      </c>
      <c r="P3" s="13">
        <v>1</v>
      </c>
      <c r="Q3" s="1"/>
    </row>
    <row r="4" spans="2:17" ht="13.5" x14ac:dyDescent="0.25">
      <c r="B4" s="9" t="s">
        <v>33</v>
      </c>
      <c r="C4" s="9" t="s">
        <v>34</v>
      </c>
      <c r="D4" s="21" t="s">
        <v>35</v>
      </c>
      <c r="E4" s="10">
        <v>3</v>
      </c>
      <c r="F4" s="22" t="s">
        <v>16</v>
      </c>
      <c r="G4" s="22" t="s">
        <v>36</v>
      </c>
      <c r="H4" s="30"/>
      <c r="I4" s="26" t="s">
        <v>37</v>
      </c>
      <c r="J4" s="9" t="s">
        <v>38</v>
      </c>
      <c r="K4" s="15" t="s">
        <v>39</v>
      </c>
      <c r="L4" s="15">
        <v>2</v>
      </c>
      <c r="M4" s="20" t="s">
        <v>40</v>
      </c>
      <c r="N4" s="20" t="s">
        <v>41</v>
      </c>
      <c r="O4" s="19" t="s">
        <v>14</v>
      </c>
      <c r="P4" s="13">
        <v>2</v>
      </c>
      <c r="Q4" s="2"/>
    </row>
    <row r="5" spans="2:17" ht="13.5" x14ac:dyDescent="0.25">
      <c r="B5" s="22" t="s">
        <v>42</v>
      </c>
      <c r="C5" s="22" t="s">
        <v>43</v>
      </c>
      <c r="F5" s="22" t="s">
        <v>44</v>
      </c>
      <c r="G5" s="22" t="s">
        <v>45</v>
      </c>
      <c r="L5" s="1" t="s">
        <v>46</v>
      </c>
      <c r="M5" s="20" t="s">
        <v>47</v>
      </c>
      <c r="N5" s="20" t="s">
        <v>48</v>
      </c>
      <c r="P5" s="1" t="s">
        <v>46</v>
      </c>
      <c r="Q5" s="2"/>
    </row>
    <row r="6" spans="2:17" ht="13.9" customHeight="1" x14ac:dyDescent="0.25">
      <c r="B6" s="22" t="s">
        <v>49</v>
      </c>
      <c r="C6" s="22" t="s">
        <v>50</v>
      </c>
      <c r="D6" s="23"/>
      <c r="F6" s="9" t="s">
        <v>15</v>
      </c>
      <c r="G6" s="9" t="s">
        <v>51</v>
      </c>
      <c r="H6" s="31" t="s">
        <v>52</v>
      </c>
      <c r="I6" s="10"/>
      <c r="J6" s="9"/>
      <c r="M6" s="20" t="s">
        <v>53</v>
      </c>
      <c r="N6" s="20" t="s">
        <v>54</v>
      </c>
    </row>
    <row r="7" spans="2:17" ht="13.5" x14ac:dyDescent="0.25">
      <c r="B7" s="22" t="s">
        <v>55</v>
      </c>
      <c r="C7" s="22" t="s">
        <v>56</v>
      </c>
      <c r="D7" s="12"/>
      <c r="F7" s="9" t="s">
        <v>57</v>
      </c>
      <c r="G7" s="9" t="s">
        <v>58</v>
      </c>
      <c r="H7" s="30"/>
      <c r="I7" s="26" t="s">
        <v>37</v>
      </c>
      <c r="J7" s="9" t="s">
        <v>59</v>
      </c>
      <c r="M7" s="20" t="s">
        <v>60</v>
      </c>
      <c r="N7" s="20" t="s">
        <v>61</v>
      </c>
      <c r="Q7" s="1"/>
    </row>
    <row r="8" spans="2:17" ht="13.9" customHeight="1" x14ac:dyDescent="0.25">
      <c r="B8" s="22" t="s">
        <v>62</v>
      </c>
      <c r="C8" s="22" t="s">
        <v>63</v>
      </c>
      <c r="F8" s="9" t="s">
        <v>64</v>
      </c>
      <c r="G8" s="9" t="s">
        <v>65</v>
      </c>
      <c r="M8" s="20" t="s">
        <v>66</v>
      </c>
      <c r="N8" s="20" t="s">
        <v>67</v>
      </c>
      <c r="Q8" s="2"/>
    </row>
    <row r="9" spans="2:17" ht="13.5" x14ac:dyDescent="0.25">
      <c r="B9" s="22" t="s">
        <v>68</v>
      </c>
      <c r="C9" s="22" t="s">
        <v>69</v>
      </c>
      <c r="E9" s="24"/>
      <c r="F9" s="9" t="s">
        <v>70</v>
      </c>
      <c r="G9" s="9" t="s">
        <v>71</v>
      </c>
      <c r="H9" s="32" t="s">
        <v>72</v>
      </c>
      <c r="I9" s="13"/>
      <c r="J9" s="13"/>
      <c r="M9" s="20" t="s">
        <v>73</v>
      </c>
      <c r="N9" s="20" t="s">
        <v>74</v>
      </c>
    </row>
    <row r="10" spans="2:17" ht="13.5" x14ac:dyDescent="0.25">
      <c r="B10" s="22" t="s">
        <v>75</v>
      </c>
      <c r="C10" s="22" t="s">
        <v>76</v>
      </c>
      <c r="H10" s="33"/>
      <c r="I10" s="14" t="s">
        <v>37</v>
      </c>
      <c r="J10" s="13" t="s">
        <v>77</v>
      </c>
      <c r="M10" s="20" t="s">
        <v>78</v>
      </c>
      <c r="N10" s="20" t="s">
        <v>79</v>
      </c>
      <c r="Q10" s="1"/>
    </row>
    <row r="11" spans="2:17" ht="13.5" x14ac:dyDescent="0.25">
      <c r="B11" s="22" t="s">
        <v>80</v>
      </c>
      <c r="C11" s="22" t="s">
        <v>81</v>
      </c>
      <c r="E11" s="25"/>
      <c r="J11" s="1" t="s">
        <v>46</v>
      </c>
      <c r="M11" s="20" t="s">
        <v>82</v>
      </c>
      <c r="N11" s="20" t="s">
        <v>83</v>
      </c>
      <c r="Q11" s="2"/>
    </row>
    <row r="12" spans="2:17" ht="13.5" x14ac:dyDescent="0.25">
      <c r="B12" s="22" t="s">
        <v>84</v>
      </c>
      <c r="C12" s="22" t="s">
        <v>85</v>
      </c>
      <c r="E12" s="25"/>
      <c r="F12" s="9" t="s">
        <v>27</v>
      </c>
      <c r="G12" s="9"/>
      <c r="H12" s="34" t="s">
        <v>86</v>
      </c>
      <c r="I12" s="15"/>
      <c r="J12" s="13"/>
      <c r="K12" s="12"/>
      <c r="M12" s="20" t="s">
        <v>87</v>
      </c>
      <c r="N12" s="20" t="s">
        <v>88</v>
      </c>
      <c r="Q12" s="2"/>
    </row>
    <row r="13" spans="2:17" ht="13.5" x14ac:dyDescent="0.25">
      <c r="E13" s="25"/>
      <c r="F13" s="9" t="s">
        <v>89</v>
      </c>
      <c r="G13" s="9" t="s">
        <v>90</v>
      </c>
      <c r="H13" s="33"/>
      <c r="I13" s="14" t="s">
        <v>37</v>
      </c>
      <c r="J13" s="13" t="s">
        <v>77</v>
      </c>
      <c r="M13" s="20" t="s">
        <v>91</v>
      </c>
      <c r="N13" s="20" t="s">
        <v>92</v>
      </c>
      <c r="Q13" s="2"/>
    </row>
    <row r="14" spans="2:17" ht="13.5" x14ac:dyDescent="0.25">
      <c r="E14" s="25"/>
      <c r="F14" s="9" t="s">
        <v>93</v>
      </c>
      <c r="G14" s="9" t="s">
        <v>94</v>
      </c>
      <c r="J14" s="1" t="s">
        <v>46</v>
      </c>
      <c r="M14" s="20" t="s">
        <v>95</v>
      </c>
      <c r="N14" s="20" t="s">
        <v>96</v>
      </c>
    </row>
    <row r="15" spans="2:17" x14ac:dyDescent="0.25">
      <c r="E15" s="25"/>
      <c r="F15" s="9" t="s">
        <v>97</v>
      </c>
      <c r="G15" s="9" t="s">
        <v>98</v>
      </c>
      <c r="M15" s="14" t="s">
        <v>99</v>
      </c>
      <c r="N15" s="20" t="s">
        <v>100</v>
      </c>
    </row>
    <row r="16" spans="2:17" x14ac:dyDescent="0.2">
      <c r="E16" s="25"/>
      <c r="F16" s="9" t="s">
        <v>101</v>
      </c>
      <c r="G16" s="9" t="s">
        <v>102</v>
      </c>
      <c r="N16" s="1" t="s">
        <v>46</v>
      </c>
    </row>
    <row r="20" spans="5:9" ht="13.15" customHeight="1" x14ac:dyDescent="0.2">
      <c r="F20" t="s">
        <v>103</v>
      </c>
    </row>
    <row r="21" spans="5:9" x14ac:dyDescent="0.2">
      <c r="F21" s="11"/>
    </row>
    <row r="22" spans="5:9" x14ac:dyDescent="0.2">
      <c r="F22" s="11"/>
    </row>
    <row r="23" spans="5:9" x14ac:dyDescent="0.2">
      <c r="E23" s="11" t="s">
        <v>104</v>
      </c>
    </row>
    <row r="24" spans="5:9" ht="13.15" customHeight="1" x14ac:dyDescent="0.2">
      <c r="E24" s="9" t="s">
        <v>18</v>
      </c>
      <c r="F24" s="9" t="s">
        <v>5</v>
      </c>
      <c r="G24" s="9" t="s">
        <v>7</v>
      </c>
      <c r="H24" s="9" t="s">
        <v>105</v>
      </c>
      <c r="I24" s="9" t="s">
        <v>8</v>
      </c>
    </row>
    <row r="25" spans="5:9" ht="13.15" customHeight="1" x14ac:dyDescent="0.2">
      <c r="E25" s="10" t="s">
        <v>14</v>
      </c>
      <c r="F25" s="22" t="s">
        <v>27</v>
      </c>
      <c r="G25" s="9" t="s">
        <v>106</v>
      </c>
      <c r="H25" s="9" t="str">
        <f>E25&amp;F25&amp;G25</f>
        <v>LTE通信機器購入なしマルチカットSIM</v>
      </c>
      <c r="I25" s="9" t="s">
        <v>38</v>
      </c>
    </row>
    <row r="26" spans="5:9" x14ac:dyDescent="0.2">
      <c r="E26" s="10" t="s">
        <v>107</v>
      </c>
      <c r="F26" s="22" t="s">
        <v>27</v>
      </c>
      <c r="G26" s="9" t="s">
        <v>106</v>
      </c>
      <c r="H26" s="9" t="str">
        <f>E26&amp;F26&amp;G26</f>
        <v>5G-NSA通信機器購入なしマルチカットSIM</v>
      </c>
      <c r="I26" s="9" t="s">
        <v>59</v>
      </c>
    </row>
    <row r="27" spans="5:9" x14ac:dyDescent="0.2">
      <c r="F27" s="8"/>
    </row>
    <row r="28" spans="5:9" x14ac:dyDescent="0.2">
      <c r="F28" t="s">
        <v>108</v>
      </c>
    </row>
    <row r="29" spans="5:9" ht="13.15" customHeight="1" x14ac:dyDescent="0.2">
      <c r="F29" s="9" t="s">
        <v>5</v>
      </c>
      <c r="G29" s="9" t="s">
        <v>7</v>
      </c>
      <c r="H29" s="9" t="s">
        <v>105</v>
      </c>
      <c r="I29" s="9" t="s">
        <v>8</v>
      </c>
    </row>
    <row r="30" spans="5:9" x14ac:dyDescent="0.2">
      <c r="F30" s="9" t="s">
        <v>16</v>
      </c>
      <c r="G30" s="9" t="s">
        <v>106</v>
      </c>
      <c r="H30" s="9" t="str">
        <f t="shared" ref="H30:H39" si="0">F30&amp;G30</f>
        <v>MR10LN (RINKモバイル)マルチカットSIM</v>
      </c>
      <c r="I30" s="9" t="s">
        <v>36</v>
      </c>
    </row>
    <row r="31" spans="5:9" x14ac:dyDescent="0.2">
      <c r="F31" s="9" t="s">
        <v>44</v>
      </c>
      <c r="G31" s="9" t="s">
        <v>106</v>
      </c>
      <c r="H31" s="9" t="str">
        <f t="shared" si="0"/>
        <v>MR10LN あんしん保証3年(RINKモバイル)マルチカットSIM</v>
      </c>
      <c r="I31" s="9" t="s">
        <v>45</v>
      </c>
    </row>
    <row r="32" spans="5:9" x14ac:dyDescent="0.2">
      <c r="F32" s="9" t="s">
        <v>15</v>
      </c>
      <c r="G32" s="9" t="s">
        <v>106</v>
      </c>
      <c r="H32" s="9" t="str">
        <f t="shared" si="0"/>
        <v>MR10LN キッティング付(RINKモバイル)マルチカットSIM</v>
      </c>
      <c r="I32" s="9" t="s">
        <v>51</v>
      </c>
    </row>
    <row r="33" spans="6:9" x14ac:dyDescent="0.2">
      <c r="F33" s="9" t="s">
        <v>57</v>
      </c>
      <c r="G33" s="9" t="s">
        <v>106</v>
      </c>
      <c r="H33" s="9" t="str">
        <f t="shared" si="0"/>
        <v>MR10LN あんしん保証3年 キッティング付(RINKモバイル)マルチカットSIM</v>
      </c>
      <c r="I33" s="9" t="s">
        <v>58</v>
      </c>
    </row>
    <row r="34" spans="6:9" x14ac:dyDescent="0.2">
      <c r="F34" s="9" t="s">
        <v>64</v>
      </c>
      <c r="G34" s="9" t="s">
        <v>106</v>
      </c>
      <c r="H34" s="9" t="str">
        <f t="shared" si="0"/>
        <v>UX302NC-R(S)(RINKモバイル)マルチカットSIM</v>
      </c>
      <c r="I34" s="9" t="s">
        <v>65</v>
      </c>
    </row>
    <row r="35" spans="6:9" x14ac:dyDescent="0.2">
      <c r="F35" s="9" t="s">
        <v>70</v>
      </c>
      <c r="G35" s="9" t="s">
        <v>106</v>
      </c>
      <c r="H35" s="9" t="str">
        <f t="shared" si="0"/>
        <v>UX302NC-R(S) あんしん保証3年(RINKモバイル)マルチカットSIM</v>
      </c>
      <c r="I35" s="9" t="s">
        <v>71</v>
      </c>
    </row>
    <row r="36" spans="6:9" x14ac:dyDescent="0.2">
      <c r="F36" s="9" t="s">
        <v>89</v>
      </c>
      <c r="G36" s="9" t="s">
        <v>106</v>
      </c>
      <c r="H36" s="9" t="str">
        <f t="shared" si="0"/>
        <v>MR51FN (RINKモバイル)マルチカットSIM</v>
      </c>
      <c r="I36" s="9" t="s">
        <v>90</v>
      </c>
    </row>
    <row r="37" spans="6:9" x14ac:dyDescent="0.2">
      <c r="F37" s="9" t="s">
        <v>93</v>
      </c>
      <c r="G37" s="9" t="s">
        <v>106</v>
      </c>
      <c r="H37" s="9" t="str">
        <f t="shared" si="0"/>
        <v>MR51FN あんしん保証3年(RINKモバイル)マルチカットSIM</v>
      </c>
      <c r="I37" s="9" t="s">
        <v>94</v>
      </c>
    </row>
    <row r="38" spans="6:9" x14ac:dyDescent="0.2">
      <c r="F38" s="9" t="s">
        <v>97</v>
      </c>
      <c r="G38" s="9" t="s">
        <v>106</v>
      </c>
      <c r="H38" s="9" t="str">
        <f t="shared" si="0"/>
        <v>MR51FN キッティング付(RINKモバイル)マルチカットSIM</v>
      </c>
      <c r="I38" s="9" t="s">
        <v>98</v>
      </c>
    </row>
    <row r="39" spans="6:9" x14ac:dyDescent="0.2">
      <c r="F39" s="9" t="s">
        <v>101</v>
      </c>
      <c r="G39" s="9" t="s">
        <v>106</v>
      </c>
      <c r="H39" s="9" t="str">
        <f t="shared" si="0"/>
        <v>MR51FN あんしん保証3年 キッティング付(RINKモバイル)マルチカットSIM</v>
      </c>
      <c r="I39" s="9" t="s">
        <v>102</v>
      </c>
    </row>
  </sheetData>
  <sheetProtection formatCells="0" selectLockedCells="1"/>
  <sortState xmlns:xlrd2="http://schemas.microsoft.com/office/spreadsheetml/2017/richdata2" ref="F30:I39">
    <sortCondition descending="1" ref="G30:G39"/>
  </sortState>
  <mergeCells count="5">
    <mergeCell ref="B1:N1"/>
    <mergeCell ref="H3:H4"/>
    <mergeCell ref="H6:H7"/>
    <mergeCell ref="H9:H10"/>
    <mergeCell ref="H12:H13"/>
  </mergeCells>
  <phoneticPr fontId="18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2D32-8241-43C9-8212-81D73A3121CA}">
  <dimension ref="B1:F429"/>
  <sheetViews>
    <sheetView workbookViewId="0">
      <selection activeCell="C3" sqref="C3"/>
    </sheetView>
  </sheetViews>
  <sheetFormatPr defaultRowHeight="13" x14ac:dyDescent="0.2"/>
  <cols>
    <col min="1" max="1" width="3.7265625" customWidth="1"/>
    <col min="2" max="2" width="13.453125" bestFit="1" customWidth="1"/>
    <col min="3" max="3" width="56" bestFit="1" customWidth="1"/>
    <col min="4" max="4" width="8.7265625" customWidth="1"/>
  </cols>
  <sheetData>
    <row r="1" spans="2:5" x14ac:dyDescent="0.2">
      <c r="B1" s="35" t="s">
        <v>109</v>
      </c>
      <c r="C1" s="35"/>
      <c r="D1" s="35"/>
      <c r="E1" s="35"/>
    </row>
    <row r="2" spans="2:5" x14ac:dyDescent="0.2">
      <c r="B2" s="5" t="s">
        <v>110</v>
      </c>
      <c r="C2" s="5" t="s">
        <v>111</v>
      </c>
      <c r="D2" s="5" t="s">
        <v>105</v>
      </c>
      <c r="E2" s="5" t="s">
        <v>112</v>
      </c>
    </row>
    <row r="3" spans="2:5" x14ac:dyDescent="0.2">
      <c r="B3" s="16" t="s">
        <v>113</v>
      </c>
      <c r="C3" s="16" t="s">
        <v>27</v>
      </c>
      <c r="D3" s="16" t="str">
        <f>B3&amp;C3</f>
        <v>LTE通信機器購入なし</v>
      </c>
      <c r="E3" s="16" t="s">
        <v>114</v>
      </c>
    </row>
    <row r="4" spans="2:5" x14ac:dyDescent="0.2">
      <c r="B4" s="17" t="s">
        <v>113</v>
      </c>
      <c r="C4" s="17" t="s">
        <v>89</v>
      </c>
      <c r="D4" s="17" t="str">
        <f t="shared" ref="D4:D22" si="0">B4&amp;C4</f>
        <v>LTEMR51FN (RINKモバイル)</v>
      </c>
      <c r="E4" s="17" t="s">
        <v>115</v>
      </c>
    </row>
    <row r="5" spans="2:5" x14ac:dyDescent="0.2">
      <c r="B5" s="17" t="s">
        <v>113</v>
      </c>
      <c r="C5" s="17" t="s">
        <v>93</v>
      </c>
      <c r="D5" s="17" t="str">
        <f t="shared" si="0"/>
        <v>LTEMR51FN あんしん保証3年(RINKモバイル)</v>
      </c>
      <c r="E5" s="17" t="s">
        <v>115</v>
      </c>
    </row>
    <row r="6" spans="2:5" x14ac:dyDescent="0.2">
      <c r="B6" s="17" t="s">
        <v>113</v>
      </c>
      <c r="C6" s="17" t="s">
        <v>97</v>
      </c>
      <c r="D6" s="17" t="str">
        <f t="shared" si="0"/>
        <v>LTEMR51FN キッティング付(RINKモバイル)</v>
      </c>
      <c r="E6" s="17" t="s">
        <v>115</v>
      </c>
    </row>
    <row r="7" spans="2:5" x14ac:dyDescent="0.2">
      <c r="B7" s="17" t="s">
        <v>113</v>
      </c>
      <c r="C7" s="17" t="s">
        <v>101</v>
      </c>
      <c r="D7" s="17" t="str">
        <f t="shared" si="0"/>
        <v>LTEMR51FN あんしん保証3年 キッティング付(RINKモバイル)</v>
      </c>
      <c r="E7" s="17" t="s">
        <v>115</v>
      </c>
    </row>
    <row r="8" spans="2:5" x14ac:dyDescent="0.2">
      <c r="B8" s="16" t="s">
        <v>113</v>
      </c>
      <c r="C8" s="16" t="s">
        <v>16</v>
      </c>
      <c r="D8" s="16" t="str">
        <f t="shared" si="0"/>
        <v>LTEMR10LN (RINKモバイル)</v>
      </c>
      <c r="E8" s="16" t="s">
        <v>114</v>
      </c>
    </row>
    <row r="9" spans="2:5" x14ac:dyDescent="0.2">
      <c r="B9" s="16" t="s">
        <v>113</v>
      </c>
      <c r="C9" s="16" t="s">
        <v>44</v>
      </c>
      <c r="D9" s="16" t="str">
        <f t="shared" si="0"/>
        <v>LTEMR10LN あんしん保証3年(RINKモバイル)</v>
      </c>
      <c r="E9" s="16" t="s">
        <v>114</v>
      </c>
    </row>
    <row r="10" spans="2:5" x14ac:dyDescent="0.2">
      <c r="B10" s="16" t="s">
        <v>113</v>
      </c>
      <c r="C10" s="16" t="s">
        <v>15</v>
      </c>
      <c r="D10" s="16" t="str">
        <f t="shared" si="0"/>
        <v>LTEMR10LN キッティング付(RINKモバイル)</v>
      </c>
      <c r="E10" s="16" t="s">
        <v>114</v>
      </c>
    </row>
    <row r="11" spans="2:5" x14ac:dyDescent="0.2">
      <c r="B11" s="16" t="s">
        <v>113</v>
      </c>
      <c r="C11" s="16" t="s">
        <v>57</v>
      </c>
      <c r="D11" s="16" t="str">
        <f t="shared" si="0"/>
        <v>LTEMR10LN あんしん保証3年 キッティング付(RINKモバイル)</v>
      </c>
      <c r="E11" s="16" t="s">
        <v>114</v>
      </c>
    </row>
    <row r="12" spans="2:5" x14ac:dyDescent="0.2">
      <c r="B12" s="16" t="s">
        <v>113</v>
      </c>
      <c r="C12" s="16" t="s">
        <v>64</v>
      </c>
      <c r="D12" s="16" t="str">
        <f t="shared" si="0"/>
        <v>LTEUX302NC-R(S)(RINKモバイル)</v>
      </c>
      <c r="E12" s="16" t="s">
        <v>114</v>
      </c>
    </row>
    <row r="13" spans="2:5" x14ac:dyDescent="0.2">
      <c r="B13" s="16" t="s">
        <v>113</v>
      </c>
      <c r="C13" s="16" t="s">
        <v>70</v>
      </c>
      <c r="D13" s="16" t="str">
        <f t="shared" si="0"/>
        <v>LTEUX302NC-R(S) あんしん保証3年(RINKモバイル)</v>
      </c>
      <c r="E13" s="16" t="s">
        <v>114</v>
      </c>
    </row>
    <row r="14" spans="2:5" x14ac:dyDescent="0.2">
      <c r="B14" s="16" t="s">
        <v>35</v>
      </c>
      <c r="C14" s="16" t="s">
        <v>27</v>
      </c>
      <c r="D14" s="16" t="str">
        <f t="shared" si="0"/>
        <v>5G-NSA通信機器購入なし</v>
      </c>
      <c r="E14" s="16" t="s">
        <v>114</v>
      </c>
    </row>
    <row r="15" spans="2:5" x14ac:dyDescent="0.2">
      <c r="B15" s="16" t="s">
        <v>35</v>
      </c>
      <c r="C15" s="16" t="s">
        <v>89</v>
      </c>
      <c r="D15" s="16" t="str">
        <f t="shared" si="0"/>
        <v>5G-NSAMR51FN (RINKモバイル)</v>
      </c>
      <c r="E15" s="16" t="s">
        <v>114</v>
      </c>
    </row>
    <row r="16" spans="2:5" x14ac:dyDescent="0.2">
      <c r="B16" s="16" t="s">
        <v>35</v>
      </c>
      <c r="C16" s="16" t="s">
        <v>93</v>
      </c>
      <c r="D16" s="16" t="str">
        <f t="shared" si="0"/>
        <v>5G-NSAMR51FN あんしん保証3年(RINKモバイル)</v>
      </c>
      <c r="E16" s="16" t="s">
        <v>114</v>
      </c>
    </row>
    <row r="17" spans="2:5" x14ac:dyDescent="0.2">
      <c r="B17" s="16" t="s">
        <v>35</v>
      </c>
      <c r="C17" s="16" t="s">
        <v>97</v>
      </c>
      <c r="D17" s="16" t="str">
        <f t="shared" si="0"/>
        <v>5G-NSAMR51FN キッティング付(RINKモバイル)</v>
      </c>
      <c r="E17" s="16" t="s">
        <v>114</v>
      </c>
    </row>
    <row r="18" spans="2:5" x14ac:dyDescent="0.2">
      <c r="B18" s="16" t="s">
        <v>35</v>
      </c>
      <c r="C18" s="16" t="s">
        <v>101</v>
      </c>
      <c r="D18" s="16" t="str">
        <f t="shared" si="0"/>
        <v>5G-NSAMR51FN あんしん保証3年 キッティング付(RINKモバイル)</v>
      </c>
      <c r="E18" s="16" t="s">
        <v>114</v>
      </c>
    </row>
    <row r="19" spans="2:5" x14ac:dyDescent="0.2">
      <c r="B19" s="17" t="s">
        <v>35</v>
      </c>
      <c r="C19" s="17" t="s">
        <v>16</v>
      </c>
      <c r="D19" s="17" t="str">
        <f t="shared" si="0"/>
        <v>5G-NSAMR10LN (RINKモバイル)</v>
      </c>
      <c r="E19" s="17" t="s">
        <v>115</v>
      </c>
    </row>
    <row r="20" spans="2:5" x14ac:dyDescent="0.2">
      <c r="B20" s="17" t="s">
        <v>35</v>
      </c>
      <c r="C20" s="17" t="s">
        <v>44</v>
      </c>
      <c r="D20" s="17" t="str">
        <f t="shared" si="0"/>
        <v>5G-NSAMR10LN あんしん保証3年(RINKモバイル)</v>
      </c>
      <c r="E20" s="17" t="s">
        <v>115</v>
      </c>
    </row>
    <row r="21" spans="2:5" x14ac:dyDescent="0.2">
      <c r="B21" s="17" t="s">
        <v>35</v>
      </c>
      <c r="C21" s="17" t="s">
        <v>15</v>
      </c>
      <c r="D21" s="17" t="str">
        <f t="shared" si="0"/>
        <v>5G-NSAMR10LN キッティング付(RINKモバイル)</v>
      </c>
      <c r="E21" s="17" t="s">
        <v>115</v>
      </c>
    </row>
    <row r="22" spans="2:5" x14ac:dyDescent="0.2">
      <c r="B22" s="17" t="s">
        <v>35</v>
      </c>
      <c r="C22" s="17" t="s">
        <v>57</v>
      </c>
      <c r="D22" s="17" t="str">
        <f t="shared" si="0"/>
        <v>5G-NSAMR10LN あんしん保証3年 キッティング付(RINKモバイル)</v>
      </c>
      <c r="E22" s="17" t="s">
        <v>115</v>
      </c>
    </row>
    <row r="23" spans="2:5" x14ac:dyDescent="0.2">
      <c r="B23" s="17" t="s">
        <v>107</v>
      </c>
      <c r="C23" s="17" t="s">
        <v>64</v>
      </c>
      <c r="D23" s="17" t="str">
        <f t="shared" ref="D23:D24" si="1">B23&amp;C23</f>
        <v>5G-NSAUX302NC-R(S)(RINKモバイル)</v>
      </c>
      <c r="E23" s="17" t="s">
        <v>115</v>
      </c>
    </row>
    <row r="24" spans="2:5" x14ac:dyDescent="0.2">
      <c r="B24" s="17" t="s">
        <v>107</v>
      </c>
      <c r="C24" s="17" t="s">
        <v>70</v>
      </c>
      <c r="D24" s="17" t="str">
        <f t="shared" si="1"/>
        <v>5G-NSAUX302NC-R(S) あんしん保証3年(RINKモバイル)</v>
      </c>
      <c r="E24" s="17" t="s">
        <v>115</v>
      </c>
    </row>
    <row r="429" spans="6:6" x14ac:dyDescent="0.2">
      <c r="F429" t="s">
        <v>116</v>
      </c>
    </row>
  </sheetData>
  <mergeCells count="1">
    <mergeCell ref="B1:E1"/>
  </mergeCells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6B742C449664246832A0AD62B9F6AFB" ma:contentTypeVersion="13" ma:contentTypeDescription="新しいドキュメントを作成します。" ma:contentTypeScope="" ma:versionID="f3bd944fbcba5c824bba6bc3e460287a">
  <xsd:schema xmlns:xsd="http://www.w3.org/2001/XMLSchema" xmlns:xs="http://www.w3.org/2001/XMLSchema" xmlns:p="http://schemas.microsoft.com/office/2006/metadata/properties" xmlns:ns2="fd5a84f0-66e5-477e-880c-a50a0a269aef" xmlns:ns3="2b173596-a685-4fbf-8e51-07aa5fc02af3" targetNamespace="http://schemas.microsoft.com/office/2006/metadata/properties" ma:root="true" ma:fieldsID="bc46652408910329d04f58edb6957717" ns2:_="" ns3:_="">
    <xsd:import namespace="fd5a84f0-66e5-477e-880c-a50a0a269aef"/>
    <xsd:import namespace="2b173596-a685-4fbf-8e51-07aa5fc02a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a84f0-66e5-477e-880c-a50a0a269a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rchiverLinkFileType" ma:index="20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73596-a685-4fbf-8e51-07aa5fc02a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2371ed-7d99-4a0e-ae55-c68847300d95}" ma:internalName="TaxCatchAll" ma:showField="CatchAllData" ma:web="2b173596-a685-4fbf-8e51-07aa5fc02a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5a84f0-66e5-477e-880c-a50a0a269aef">
      <Terms xmlns="http://schemas.microsoft.com/office/infopath/2007/PartnerControls"/>
    </lcf76f155ced4ddcb4097134ff3c332f>
    <TaxCatchAll xmlns="2b173596-a685-4fbf-8e51-07aa5fc02af3" xsi:nil="true"/>
    <ArchiverLinkFileType xmlns="fd5a84f0-66e5-477e-880c-a50a0a269aef" xsi:nil="true"/>
  </documentManagement>
</p:properties>
</file>

<file path=customXml/itemProps1.xml><?xml version="1.0" encoding="utf-8"?>
<ds:datastoreItem xmlns:ds="http://schemas.openxmlformats.org/officeDocument/2006/customXml" ds:itemID="{426C9A18-9E3A-456D-8C4B-C57A9E0E09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6EAC60-B2CC-4042-9E62-5623C98FA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a84f0-66e5-477e-880c-a50a0a269aef"/>
    <ds:schemaRef ds:uri="2b173596-a685-4fbf-8e51-07aa5fc02a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6F6AB9-DA90-44E4-A1BF-35CA0B52855F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fd5a84f0-66e5-477e-880c-a50a0a269aef"/>
    <ds:schemaRef ds:uri="http://schemas.microsoft.com/office/infopath/2007/PartnerControls"/>
    <ds:schemaRef ds:uri="http://purl.org/dc/dcmitype/"/>
    <ds:schemaRef ds:uri="2b173596-a685-4fbf-8e51-07aa5fc02af3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回線申し込み</vt:lpstr>
      <vt:lpstr>回線申し込み (記入例)</vt:lpstr>
      <vt:lpstr>メニュー</vt:lpstr>
      <vt:lpstr>エラーチェック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2019-02-15T04:39:20Z</dcterms:created>
  <dcterms:modified xsi:type="dcterms:W3CDTF">2026-07-24T05:22:19Z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情報管理区分">
    <vt:lpwstr>管理区分外</vt:lpwstr>
  </property>
  <property fmtid="{D5CDD505-2E9C-101B-9397-08002B2CF9AE}" pid="3" name="文書区分">
    <vt:lpwstr/>
  </property>
  <property fmtid="{D5CDD505-2E9C-101B-9397-08002B2CF9AE}" pid="4" name="情報管理責任者所属">
    <vt:lpwstr/>
  </property>
  <property fmtid="{D5CDD505-2E9C-101B-9397-08002B2CF9AE}" pid="5" name="情報管理責任者役職">
    <vt:lpwstr/>
  </property>
  <property fmtid="{D5CDD505-2E9C-101B-9397-08002B2CF9AE}" pid="6" name="情報管理責任者氏名">
    <vt:lpwstr/>
  </property>
  <property fmtid="{D5CDD505-2E9C-101B-9397-08002B2CF9AE}" pid="7" name="情報管理責任者メールアドレス">
    <vt:lpwstr/>
  </property>
  <property fmtid="{D5CDD505-2E9C-101B-9397-08002B2CF9AE}" pid="8" name="作成年月日">
    <vt:lpwstr>2019/02/15</vt:lpwstr>
  </property>
  <property fmtid="{D5CDD505-2E9C-101B-9397-08002B2CF9AE}" pid="9" name="守秘管理期限">
    <vt:lpwstr>無期限</vt:lpwstr>
  </property>
  <property fmtid="{D5CDD505-2E9C-101B-9397-08002B2CF9AE}" pid="10" name="廃棄期限">
    <vt:lpwstr>2020/02/14</vt:lpwstr>
  </property>
  <property fmtid="{D5CDD505-2E9C-101B-9397-08002B2CF9AE}" pid="11" name="作成者所属">
    <vt:lpwstr/>
  </property>
  <property fmtid="{D5CDD505-2E9C-101B-9397-08002B2CF9AE}" pid="12" name="作成者氏名">
    <vt:lpwstr/>
  </property>
  <property fmtid="{D5CDD505-2E9C-101B-9397-08002B2CF9AE}" pid="13" name="作成者メールアドレス">
    <vt:lpwstr/>
  </property>
  <property fmtid="{D5CDD505-2E9C-101B-9397-08002B2CF9AE}" pid="14" name="文書ID">
    <vt:lpwstr/>
  </property>
  <property fmtid="{D5CDD505-2E9C-101B-9397-08002B2CF9AE}" pid="15" name="配布番号">
    <vt:lpwstr/>
  </property>
  <property fmtid="{D5CDD505-2E9C-101B-9397-08002B2CF9AE}" pid="16" name="配布先">
    <vt:lpwstr/>
  </property>
  <property fmtid="{D5CDD505-2E9C-101B-9397-08002B2CF9AE}" pid="17" name="MSIP_Label_dbb4fa5d-3ac5-4415-967c-34900a0e1c6f_Enabled">
    <vt:lpwstr>true</vt:lpwstr>
  </property>
  <property fmtid="{D5CDD505-2E9C-101B-9397-08002B2CF9AE}" pid="18" name="MSIP_Label_dbb4fa5d-3ac5-4415-967c-34900a0e1c6f_SetDate">
    <vt:lpwstr>2022-04-13T02:40:02Z</vt:lpwstr>
  </property>
  <property fmtid="{D5CDD505-2E9C-101B-9397-08002B2CF9AE}" pid="19" name="MSIP_Label_dbb4fa5d-3ac5-4415-967c-34900a0e1c6f_Method">
    <vt:lpwstr>Privileged</vt:lpwstr>
  </property>
  <property fmtid="{D5CDD505-2E9C-101B-9397-08002B2CF9AE}" pid="20" name="MSIP_Label_dbb4fa5d-3ac5-4415-967c-34900a0e1c6f_Name">
    <vt:lpwstr>dbb4fa5d-3ac5-4415-967c-34900a0e1c6f</vt:lpwstr>
  </property>
  <property fmtid="{D5CDD505-2E9C-101B-9397-08002B2CF9AE}" pid="21" name="MSIP_Label_dbb4fa5d-3ac5-4415-967c-34900a0e1c6f_SiteId">
    <vt:lpwstr>a629ef32-67ba-47a6-8eb3-ec43935644fc</vt:lpwstr>
  </property>
  <property fmtid="{D5CDD505-2E9C-101B-9397-08002B2CF9AE}" pid="22" name="MSIP_Label_dbb4fa5d-3ac5-4415-967c-34900a0e1c6f_ActionId">
    <vt:lpwstr>fb93924a-e492-4792-80ed-a5f2fbc8ee77</vt:lpwstr>
  </property>
  <property fmtid="{D5CDD505-2E9C-101B-9397-08002B2CF9AE}" pid="23" name="MSIP_Label_dbb4fa5d-3ac5-4415-967c-34900a0e1c6f_ContentBits">
    <vt:lpwstr>0</vt:lpwstr>
  </property>
  <property fmtid="{D5CDD505-2E9C-101B-9397-08002B2CF9AE}" pid="24" name="ContentTypeId">
    <vt:lpwstr>0x01010056B742C449664246832A0AD62B9F6AFB</vt:lpwstr>
  </property>
  <property fmtid="{D5CDD505-2E9C-101B-9397-08002B2CF9AE}" pid="25" name="MediaServiceImageTags">
    <vt:lpwstr/>
  </property>
</Properties>
</file>